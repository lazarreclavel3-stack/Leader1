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5a878f087b0e12/Desktop/"/>
    </mc:Choice>
  </mc:AlternateContent>
  <xr:revisionPtr revIDLastSave="0" documentId="8_{A5AAD3DE-1EFA-4154-9959-262BEC590236}" xr6:coauthVersionLast="47" xr6:coauthVersionMax="47" xr10:uidLastSave="{00000000-0000-0000-0000-000000000000}"/>
  <bookViews>
    <workbookView xWindow="1740" yWindow="830" windowWidth="16510" windowHeight="9250" xr2:uid="{00000000-000D-0000-FFFF-FFFF00000000}"/>
  </bookViews>
  <sheets>
    <sheet name="Career Evidence" sheetId="1" r:id="rId1"/>
    <sheet name="Role Families" sheetId="2" r:id="rId2"/>
    <sheet name="Source Resumes" sheetId="3" r:id="rId3"/>
    <sheet name="Search Rules" sheetId="4" r:id="rId4"/>
    <sheet name="Conflict Review" sheetId="5" r:id="rId5"/>
    <sheet name="Search Profile" sheetId="6" r:id="rId6"/>
    <sheet name="Dashboard" sheetId="7" r:id="rId7"/>
  </sheets>
  <calcPr calcId="0"/>
</workbook>
</file>

<file path=xl/sharedStrings.xml><?xml version="1.0" encoding="utf-8"?>
<sst xmlns="http://schemas.openxmlformats.org/spreadsheetml/2006/main" count="980" uniqueCount="747">
  <si>
    <t>Evidence ID</t>
  </si>
  <si>
    <t>Career Area</t>
  </si>
  <si>
    <t>Capability</t>
  </si>
  <si>
    <t>Verified Achievement / Experience</t>
  </si>
  <si>
    <t>Metric / Scope</t>
  </si>
  <si>
    <t>Organization</t>
  </si>
  <si>
    <t>Role</t>
  </si>
  <si>
    <t>Industry / Context</t>
  </si>
  <si>
    <t>Keywords</t>
  </si>
  <si>
    <t>Source Resume</t>
  </si>
  <si>
    <t>Status</t>
  </si>
  <si>
    <t>E001</t>
  </si>
  <si>
    <t>Executive Finance</t>
  </si>
  <si>
    <t>Strategic Finance</t>
  </si>
  <si>
    <t>Led financial transformation, stabilization, and scalable growth in mission-driven, regulated, and service-based organizations.</t>
  </si>
  <si>
    <t>$50M–$200M environments</t>
  </si>
  <si>
    <t>Multiple</t>
  </si>
  <si>
    <t>CFO / Executive</t>
  </si>
  <si>
    <t>Nonprofit, regulated, services</t>
  </si>
  <si>
    <t>strategic finance; transformation; growth; stabilization</t>
  </si>
  <si>
    <t>CFO Resume</t>
  </si>
  <si>
    <t>Verified</t>
  </si>
  <si>
    <t>E002</t>
  </si>
  <si>
    <t>Multi-Entity Finance</t>
  </si>
  <si>
    <t>Hands-on leadership in multi-entity finance, public funding, capital strategy, and audit remediation.</t>
  </si>
  <si>
    <t>Multi-entity</t>
  </si>
  <si>
    <t>CFO</t>
  </si>
  <si>
    <t>Public funding / regulated</t>
  </si>
  <si>
    <t>multi-entity; capital strategy; audit remediation; public funding</t>
  </si>
  <si>
    <t>E003</t>
  </si>
  <si>
    <t>Finance</t>
  </si>
  <si>
    <t>FP&amp;A / Liquidity</t>
  </si>
  <si>
    <t>Led financial planning, budgeting, treasury, liquidity management, and cash-flow forecasting across multi-entity structures.</t>
  </si>
  <si>
    <t>$10M–$500M client organizations</t>
  </si>
  <si>
    <t>Maroon Strategist</t>
  </si>
  <si>
    <t>Chief Financial Officer</t>
  </si>
  <si>
    <t>Nonprofit, private, education, public sector</t>
  </si>
  <si>
    <t>FP&amp;A; budgeting; treasury; liquidity; cash flow</t>
  </si>
  <si>
    <t>E004</t>
  </si>
  <si>
    <t>Governance &amp; Compliance</t>
  </si>
  <si>
    <t>Audit / Controls</t>
  </si>
  <si>
    <t>Directed audit readiness, external audit processes, GAAP and Uniform Guidance compliance; designed internal controls and fund-accounting frameworks.</t>
  </si>
  <si>
    <t>GAAP / Uniform Guidance</t>
  </si>
  <si>
    <t>Government-funded / nonprofit</t>
  </si>
  <si>
    <t>audit; GAAP; Uniform Guidance; internal controls; fund accounting</t>
  </si>
  <si>
    <t>E005</t>
  </si>
  <si>
    <t>Turnaround</t>
  </si>
  <si>
    <t>Financial Remediation</t>
  </si>
  <si>
    <t>Executed financial turnarounds, forensic accounting, historical clean-up, and audit remediation.</t>
  </si>
  <si>
    <t>Turnaround / remediation</t>
  </si>
  <si>
    <t>Advisory</t>
  </si>
  <si>
    <t>forensic accounting; cleanup; turnaround; remediation</t>
  </si>
  <si>
    <t>E006</t>
  </si>
  <si>
    <t>Capital</t>
  </si>
  <si>
    <t>Capital Allocation</t>
  </si>
  <si>
    <t>Supported investment-aligned decision-making, scenario modeling, funding strategy, and resource optimization.</t>
  </si>
  <si>
    <t>Capital planning</t>
  </si>
  <si>
    <t>capital allocation; scenario modeling; funding strategy</t>
  </si>
  <si>
    <t>E007</t>
  </si>
  <si>
    <t>Government Programs</t>
  </si>
  <si>
    <t>Program Finance</t>
  </si>
  <si>
    <t>Structured the financial framework for a NYPA Clean Energy Workforce Program, aligning funding, compliance, and performance metrics.</t>
  </si>
  <si>
    <t>$2M program cited in resume</t>
  </si>
  <si>
    <t>Clean energy / workforce / public funding</t>
  </si>
  <si>
    <t>NYPA; clean energy; program finance; compliance; performance metrics</t>
  </si>
  <si>
    <t>E008</t>
  </si>
  <si>
    <t>Tax / Financial Analysis</t>
  </si>
  <si>
    <t>Tax Recovery</t>
  </si>
  <si>
    <t>Identified and recovered tax savings through detailed financial analysis and correction of reporting deficiencies.</t>
  </si>
  <si>
    <t>$1.5M+ cited in resume</t>
  </si>
  <si>
    <t>Advisory / tax</t>
  </si>
  <si>
    <t>tax savings; financial analysis; reporting deficiencies</t>
  </si>
  <si>
    <t>E009</t>
  </si>
  <si>
    <t>Liquidity</t>
  </si>
  <si>
    <t>Working Capital</t>
  </si>
  <si>
    <t>Spearheaded liquidity and working-capital strategies including covenant monitoring, short-term financing analysis, and stress testing.</t>
  </si>
  <si>
    <t>Enterprise liquidity</t>
  </si>
  <si>
    <t>working capital; covenant monitoring; financing; stress testing</t>
  </si>
  <si>
    <t>E010</t>
  </si>
  <si>
    <t>Operations &amp; Finance</t>
  </si>
  <si>
    <t>P&amp;L Leadership</t>
  </si>
  <si>
    <t>Held full P&amp;L accountability for a portfolio within a large nonprofit and partnered with CEO and senior leadership.</t>
  </si>
  <si>
    <t>$8M portfolio / $50M+ nonprofit</t>
  </si>
  <si>
    <t>Osborne Association</t>
  </si>
  <si>
    <t>VP Business Development &amp; Social Ventures</t>
  </si>
  <si>
    <t>Nonprofit / social services</t>
  </si>
  <si>
    <t>P&amp;L; executive leadership; nonprofit; portfolio management</t>
  </si>
  <si>
    <t>E011</t>
  </si>
  <si>
    <t>Leadership</t>
  </si>
  <si>
    <t>Team / Division Leadership</t>
  </si>
  <si>
    <t>Led financial and operational oversight for a multi-program division spanning social services, workforce development, and enterprise initiatives.</t>
  </si>
  <si>
    <t>140-person division</t>
  </si>
  <si>
    <t>Human services / workforce</t>
  </si>
  <si>
    <t>140 staff; division leadership; operations</t>
  </si>
  <si>
    <t>CFO + WFD Resumes</t>
  </si>
  <si>
    <t>E012</t>
  </si>
  <si>
    <t>Deficit Reduction</t>
  </si>
  <si>
    <t>Reversed an annual operating deficit and delivered an operating surplus through cost restructuring, controls, and revenue optimization.</t>
  </si>
  <si>
    <t>$1M deficit; 13% operating surplus</t>
  </si>
  <si>
    <t>Nonprofit</t>
  </si>
  <si>
    <t>turnaround; deficit reduction; surplus; cost restructuring</t>
  </si>
  <si>
    <t>E013</t>
  </si>
  <si>
    <t>Business Development</t>
  </si>
  <si>
    <t>Contract Growth</t>
  </si>
  <si>
    <t>Negotiated and structured new contracts through business development and partnerships.</t>
  </si>
  <si>
    <t>$10M+ new contracts</t>
  </si>
  <si>
    <t>Government / nonprofit / services</t>
  </si>
  <si>
    <t>contracts; business development; partnerships; revenue growth</t>
  </si>
  <si>
    <t>E014</t>
  </si>
  <si>
    <t>Operations</t>
  </si>
  <si>
    <t>Vendor / Cost Optimization</t>
  </si>
  <si>
    <t>Renegotiated vendor and logistics agreements to reduce costs and improve margins.</t>
  </si>
  <si>
    <t>35% cost reduction</t>
  </si>
  <si>
    <t>Alluel Logistics</t>
  </si>
  <si>
    <t>VP Operations</t>
  </si>
  <si>
    <t>Logistics / public sector</t>
  </si>
  <si>
    <t>vendor management; procurement; cost reduction; margin</t>
  </si>
  <si>
    <t>E015</t>
  </si>
  <si>
    <t>Technology</t>
  </si>
  <si>
    <t>ERP Transformation</t>
  </si>
  <si>
    <t>Implemented a redesigned ERP-based warehouse management system, improving processing efficiency and data visibility.</t>
  </si>
  <si>
    <t>60% processing efficiency improvement</t>
  </si>
  <si>
    <t>Logistics / operations</t>
  </si>
  <si>
    <t>ERP; warehouse management; systems implementation; data visibility</t>
  </si>
  <si>
    <t>E016</t>
  </si>
  <si>
    <t>Public Sector</t>
  </si>
  <si>
    <t>Government Contracts</t>
  </si>
  <si>
    <t>Directed financial controls, billing, and compliance for NYCHA and NYC DHS contracts.</t>
  </si>
  <si>
    <t>$500K+ monthly contracts</t>
  </si>
  <si>
    <t>Public sector / facilities / logistics</t>
  </si>
  <si>
    <t>NYCHA; DHS; government contracts; billing; compliance</t>
  </si>
  <si>
    <t>E017</t>
  </si>
  <si>
    <t>Capital / Banking</t>
  </si>
  <si>
    <t>Banking Development</t>
  </si>
  <si>
    <t>Served as financial architect for a national banking development initiative, supporting capital planning and financial structuring.</t>
  </si>
  <si>
    <t>$200M initiative</t>
  </si>
  <si>
    <t>Consulting Leadership</t>
  </si>
  <si>
    <t>Fractional CFO</t>
  </si>
  <si>
    <t>Banking / financial services</t>
  </si>
  <si>
    <t>banking; capital planning; financial structuring</t>
  </si>
  <si>
    <t>E018</t>
  </si>
  <si>
    <t>Capital Raising</t>
  </si>
  <si>
    <t>Private Capital</t>
  </si>
  <si>
    <t>Raised private capital supporting international infrastructure expansion.</t>
  </si>
  <si>
    <t>$3.5M</t>
  </si>
  <si>
    <t>Infrastructure / international</t>
  </si>
  <si>
    <t>capital raising; private capital; infrastructure</t>
  </si>
  <si>
    <t>E019</t>
  </si>
  <si>
    <t>Workforce Development</t>
  </si>
  <si>
    <t>Program Design</t>
  </si>
  <si>
    <t>Designed and executed workforce and employment initiatives focused on equitable career pathways.</t>
  </si>
  <si>
    <t>Program leadership</t>
  </si>
  <si>
    <t>VP Business Development</t>
  </si>
  <si>
    <t>Workforce / human services</t>
  </si>
  <si>
    <t>workforce development; employment; career pathways; equity</t>
  </si>
  <si>
    <t>WFD Resume</t>
  </si>
  <si>
    <t>E020</t>
  </si>
  <si>
    <t>Clean Energy Workforce</t>
  </si>
  <si>
    <t>Led development and execution of green-energy workforce programs supporting training, credentialing, and job placement.</t>
  </si>
  <si>
    <t>NY clean energy programs</t>
  </si>
  <si>
    <t>Clean energy / workforce</t>
  </si>
  <si>
    <t>clean energy; training; credentialing; placement</t>
  </si>
  <si>
    <t>E021</t>
  </si>
  <si>
    <t>Partnerships</t>
  </si>
  <si>
    <t>Cross-Sector Coordination</t>
  </si>
  <si>
    <t>Coordinated state agencies, training providers, and employer partners to align curriculum, certifications, and hiring demand.</t>
  </si>
  <si>
    <t>Multi-stakeholder</t>
  </si>
  <si>
    <t>Government / workforce</t>
  </si>
  <si>
    <t>employer partnerships; agencies; curriculum; hiring demand</t>
  </si>
  <si>
    <t>E022</t>
  </si>
  <si>
    <t>Disability Employment</t>
  </si>
  <si>
    <t>NYSID / Inclusive Employment</t>
  </si>
  <si>
    <t>Worked with NYSID and supported projects employing individuals with disabilities across public-sector initiatives.</t>
  </si>
  <si>
    <t>State-supported employment</t>
  </si>
  <si>
    <t>Disability services / public sector</t>
  </si>
  <si>
    <t>NYSID; disability employment; procurement; inclusion</t>
  </si>
  <si>
    <t>E023</t>
  </si>
  <si>
    <t>Workforce Analytics</t>
  </si>
  <si>
    <t>Outcome Tracking</t>
  </si>
  <si>
    <t>Established outcomes tracking and performance reporting for enrollments, completions, placements, and retention.</t>
  </si>
  <si>
    <t>Funder benchmarks</t>
  </si>
  <si>
    <t>Workforce / grants</t>
  </si>
  <si>
    <t>outcomes; KPI; placement; retention; reporting</t>
  </si>
  <si>
    <t>E024</t>
  </si>
  <si>
    <t>Employment Model Ownership</t>
  </si>
  <si>
    <t>Owned and operated an employment and workforce-development model integrating job readiness, placement, and wraparound supports.</t>
  </si>
  <si>
    <t>Agency-wide model</t>
  </si>
  <si>
    <t>VP Social Ventures</t>
  </si>
  <si>
    <t>Human services / justice impacted</t>
  </si>
  <si>
    <t>employment model; job readiness; placement; wraparound</t>
  </si>
  <si>
    <t>E025</t>
  </si>
  <si>
    <t>Program Scaling</t>
  </si>
  <si>
    <t>Designed and scaled a nine-month employment-readiness and transitional-work program.</t>
  </si>
  <si>
    <t>300+ participants annually</t>
  </si>
  <si>
    <t>Workforce / reentry</t>
  </si>
  <si>
    <t>transitional work; employment readiness; scale; reentry</t>
  </si>
  <si>
    <t>E026</t>
  </si>
  <si>
    <t>Employer Partnerships</t>
  </si>
  <si>
    <t>Job Pipelines</t>
  </si>
  <si>
    <t>Built and managed anchor employer partners producing sustained job pipelines and repeat placements.</t>
  </si>
  <si>
    <t>300+ job opportunities cited</t>
  </si>
  <si>
    <t>Workforce / employer engagement</t>
  </si>
  <si>
    <t>anchor employers; job pipelines; placements; job fairs</t>
  </si>
  <si>
    <t>E027</t>
  </si>
  <si>
    <t>Strategy</t>
  </si>
  <si>
    <t>Executive / Board Partnership</t>
  </si>
  <si>
    <t>Collaborated with CEO and Board on long-range planning, risk management, and organizational growth strategy.</t>
  </si>
  <si>
    <t>Executive / board level</t>
  </si>
  <si>
    <t>board; CEO; long-range planning; risk; growth</t>
  </si>
  <si>
    <t>E028</t>
  </si>
  <si>
    <t>Sales &amp; Revenue</t>
  </si>
  <si>
    <t>Consultative Sales</t>
  </si>
  <si>
    <t>Built a long record of consultative selling, cross-selling, presentations, and client acquisition in financial services.</t>
  </si>
  <si>
    <t>77% closing ratio; 1,200 presentations cited</t>
  </si>
  <si>
    <t>PFP Financial</t>
  </si>
  <si>
    <t>Sales Management Consultant</t>
  </si>
  <si>
    <t>Financial services / benefits</t>
  </si>
  <si>
    <t>consultative sales; cross-sell; presentations; closing ratio; client acquisition</t>
  </si>
  <si>
    <t>Sales Resume</t>
  </si>
  <si>
    <t>Verified in source resume</t>
  </si>
  <si>
    <t>E029</t>
  </si>
  <si>
    <t>Benefits / Insurance Sales</t>
  </si>
  <si>
    <t>Produced significant benefits coverage and revenue through financial-services sales and member acquisition.</t>
  </si>
  <si>
    <t>$23M benefits coverage; 2,100+ credit-union members cited</t>
  </si>
  <si>
    <t>Credit unions / insurance / benefits</t>
  </si>
  <si>
    <t>benefits; insurance; credit union; member acquisition; revenue</t>
  </si>
  <si>
    <t>E030</t>
  </si>
  <si>
    <t>Financial Services</t>
  </si>
  <si>
    <t>SME Financing</t>
  </si>
  <si>
    <t>Structured debt/equity financing options and advised small-business partners on LOCs, debt consolidation, private placements, and acquisitions.</t>
  </si>
  <si>
    <t>SMEs $1M–$50M revenue; $10M+ new business accounts cited</t>
  </si>
  <si>
    <t>American Express / Consulting</t>
  </si>
  <si>
    <t>Senior Small Business Analyst / Project Manager Consultant</t>
  </si>
  <si>
    <t>Small business / financial services</t>
  </si>
  <si>
    <t>SME finance; debt; equity; LOC; private placements; acquisitions</t>
  </si>
  <si>
    <t>PFP Resume</t>
  </si>
  <si>
    <t>E031</t>
  </si>
  <si>
    <t>Wealth / Investment Services</t>
  </si>
  <si>
    <t>Managed affluent-client relationships involving wealth management, private banking, investment advisory, private placements, estate planning, and basic tax advisory.</t>
  </si>
  <si>
    <t>$3M book of business cited in sales resume</t>
  </si>
  <si>
    <t>First Providence Financial Group</t>
  </si>
  <si>
    <t>Financial Services Representative / Managing Partner</t>
  </si>
  <si>
    <t>Financial services</t>
  </si>
  <si>
    <t>wealth management; private banking; Series 7; Series 63; investments</t>
  </si>
  <si>
    <t>PFP + Sales Resumes</t>
  </si>
  <si>
    <t>Verified in source resumes</t>
  </si>
  <si>
    <t>E032</t>
  </si>
  <si>
    <t>Credentials</t>
  </si>
  <si>
    <t>FINRA / Insurance</t>
  </si>
  <si>
    <t>Previously held Series 7 and Series 63 licenses and life, accident, and health insurance licenses.</t>
  </si>
  <si>
    <t>Former licenses</t>
  </si>
  <si>
    <t>Financial Services Career</t>
  </si>
  <si>
    <t>Advisor / Consultant</t>
  </si>
  <si>
    <t>Financial services / insurance</t>
  </si>
  <si>
    <t>Series 7; Series 63; life insurance; accident; health</t>
  </si>
  <si>
    <t>Multiple Resumes</t>
  </si>
  <si>
    <t>Verified across multiple resumes</t>
  </si>
  <si>
    <t>E033</t>
  </si>
  <si>
    <t>Entrepreneurship</t>
  </si>
  <si>
    <t>Business Scaling</t>
  </si>
  <si>
    <t>Founded and scaled Fitness Collective from a small initial investment into a multi-location, seven-figure business.</t>
  </si>
  <si>
    <t>$5K initial investment; $1M enterprise; multiple locations</t>
  </si>
  <si>
    <t>Fitness Collective</t>
  </si>
  <si>
    <t>Co-Founder / COO / CEO-CFO</t>
  </si>
  <si>
    <t>Fitness / wellness / small business</t>
  </si>
  <si>
    <t>entrepreneurship; startup; scaling; multi-location; founder</t>
  </si>
  <si>
    <t>Operations + PFP + Sales Resumes</t>
  </si>
  <si>
    <t>E034</t>
  </si>
  <si>
    <t>Revenue Growth</t>
  </si>
  <si>
    <t>Pricing / Cross-Selling</t>
  </si>
  <si>
    <t>Drove sustained revenue growth and margin improvement through pricing, cross-selling, service expansion, and disciplined operating management.</t>
  </si>
  <si>
    <t>33% YoY revenue; 11% margin improvement cited</t>
  </si>
  <si>
    <t>Co-Founder / COO</t>
  </si>
  <si>
    <t>Fitness / wellness</t>
  </si>
  <si>
    <t>pricing; cross-selling; revenue growth; margin; unit economics</t>
  </si>
  <si>
    <t>Operations + Sales Resumes</t>
  </si>
  <si>
    <t>E035</t>
  </si>
  <si>
    <t>Franchise / Expansion</t>
  </si>
  <si>
    <t>Multi-Site Expansion</t>
  </si>
  <si>
    <t>Developed franchise concepts, manuals, site selection, staffing, and expansion into additional locations.</t>
  </si>
  <si>
    <t>3–5 additional locations cited across versions</t>
  </si>
  <si>
    <t>Founder / COO</t>
  </si>
  <si>
    <t>Fitness / franchise</t>
  </si>
  <si>
    <t>franchise; site selection; expansion; licensing; manuals</t>
  </si>
  <si>
    <t>PFP + Operations Resumes</t>
  </si>
  <si>
    <t>Verified; exact site count varies</t>
  </si>
  <si>
    <t>E036</t>
  </si>
  <si>
    <t>HR / People</t>
  </si>
  <si>
    <t>Human Resources Leadership</t>
  </si>
  <si>
    <t>Built HR, payroll, benefits, training, and employee-management infrastructure for entrepreneurial and operating businesses.</t>
  </si>
  <si>
    <t>50+ employees; ~$65K monthly payroll cited</t>
  </si>
  <si>
    <t>Small business / services</t>
  </si>
  <si>
    <t>HR; payroll; benefits; hiring; training; performance management</t>
  </si>
  <si>
    <t>Operations Resumes</t>
  </si>
  <si>
    <t>E037</t>
  </si>
  <si>
    <t>Training</t>
  </si>
  <si>
    <t>Workforce / Academy Development</t>
  </si>
  <si>
    <t>Created and led a personal training academy that certified new professionals.</t>
  </si>
  <si>
    <t>25 trainers certified</t>
  </si>
  <si>
    <t>Training / workforce</t>
  </si>
  <si>
    <t>academy; training; certification; workforce development</t>
  </si>
  <si>
    <t>Operations + PFP Resumes</t>
  </si>
  <si>
    <t>E038</t>
  </si>
  <si>
    <t>CRM / Business Systems</t>
  </si>
  <si>
    <t>Selected, implemented, and trained teams on CRM and business systems across operations, sales, and customer-service environments.</t>
  </si>
  <si>
    <t>Mindbody; Salesforce; Zoho; Looker; SQL; ERP/CRM</t>
  </si>
  <si>
    <t>Executive / Operations</t>
  </si>
  <si>
    <t>Cross-industry</t>
  </si>
  <si>
    <t>CRM; ERP; Salesforce; Zoho; Mindbody; Looker; SQL; systems</t>
  </si>
  <si>
    <t>E039</t>
  </si>
  <si>
    <t>Corporate / Institutional Partnerships</t>
  </si>
  <si>
    <t>Built and managed relationships with corporate, government, philanthropic, and community partners to generate contracts, programs, and revenue.</t>
  </si>
  <si>
    <t>City of New York; REDF; JC Flowers; agencies; employers</t>
  </si>
  <si>
    <t>Osborne / Maroon / Consulting</t>
  </si>
  <si>
    <t>VP Business Development / Executive</t>
  </si>
  <si>
    <t>Nonprofit / public sector</t>
  </si>
  <si>
    <t>strategic partnerships; institutional relationships; corporate partnerships; government</t>
  </si>
  <si>
    <t>E040</t>
  </si>
  <si>
    <t>Public Representation</t>
  </si>
  <si>
    <t>Executive Communications</t>
  </si>
  <si>
    <t>Represented organizations publicly at events, trade shows, panels, and stakeholder forums.</t>
  </si>
  <si>
    <t>NYC Climate Week and other events cited</t>
  </si>
  <si>
    <t>Nonprofit / public affairs</t>
  </si>
  <si>
    <t>public speaking; brand ambassador; stakeholder relations; panels</t>
  </si>
  <si>
    <t>SVP / MD / COO Resumes</t>
  </si>
  <si>
    <t>E041</t>
  </si>
  <si>
    <t>Fundraising</t>
  </si>
  <si>
    <t>Program / Project Fundraising</t>
  </si>
  <si>
    <t>Raised or helped secure funds from private donors, corporate partners, asset managers, grants, and networks for mission-driven projects.</t>
  </si>
  <si>
    <t>$400K+ since FY23 cited in one resume; older $350K venture cited</t>
  </si>
  <si>
    <t>Osborne / Consulting</t>
  </si>
  <si>
    <t>Executive</t>
  </si>
  <si>
    <t>Nonprofit / social impact</t>
  </si>
  <si>
    <t>fundraising; donors; grants; private network; sponsorship</t>
  </si>
  <si>
    <t>MD / RZ / Operations Resumes</t>
  </si>
  <si>
    <t>Evidence present; amounts vary by project</t>
  </si>
  <si>
    <t>E042</t>
  </si>
  <si>
    <t>Social Enterprise</t>
  </si>
  <si>
    <t>Venture Development</t>
  </si>
  <si>
    <t>Developed and monetized mission-aligned ventures, including catering, facility services, power washing, and other earned-revenue programs.</t>
  </si>
  <si>
    <t>Hundreds of thousands in earned revenue cited</t>
  </si>
  <si>
    <t>Social enterprise</t>
  </si>
  <si>
    <t>social enterprise; venture development; earned revenue; monetization</t>
  </si>
  <si>
    <t>Managing Director Resume</t>
  </si>
  <si>
    <t>E043</t>
  </si>
  <si>
    <t>Portfolio Leadership</t>
  </si>
  <si>
    <t>Led revenue-generating social ventures and employment programs combining financial sustainability with mission outcomes.</t>
  </si>
  <si>
    <t>140-person social ventures portfolio cited</t>
  </si>
  <si>
    <t>Nonprofit / social enterprise</t>
  </si>
  <si>
    <t>social ventures; earned revenue; P&amp;L; impact; employment</t>
  </si>
  <si>
    <t>E044</t>
  </si>
  <si>
    <t>Job Placement</t>
  </si>
  <si>
    <t>Led job-readiness and employment programs producing permanent placements for justice-impacted and underserved participants.</t>
  </si>
  <si>
    <t>65 permanent placements annually cited in older MD/RZ resume; 300+ opportunities cited elsewhere</t>
  </si>
  <si>
    <t>job placement; job readiness; reentry; employment services</t>
  </si>
  <si>
    <t>MD / RZ / WFD Resumes</t>
  </si>
  <si>
    <t>Evidence present; metrics differ by measure</t>
  </si>
  <si>
    <t>E045</t>
  </si>
  <si>
    <t>Created employer partnerships and hiring pipelines across NYC and clean-energy sectors.</t>
  </si>
  <si>
    <t>12+ employer partnerships cited in one resume; anchor-employer portfolio in WFD resume</t>
  </si>
  <si>
    <t>Osborne / Maroon</t>
  </si>
  <si>
    <t>Workforce / clean energy</t>
  </si>
  <si>
    <t>employer partnerships; hiring pipelines; anchor employers; placements</t>
  </si>
  <si>
    <t>COO / WFD Resumes</t>
  </si>
  <si>
    <t>Verified; counts vary by time period</t>
  </si>
  <si>
    <t>E046</t>
  </si>
  <si>
    <t>Process Improvement</t>
  </si>
  <si>
    <t>Streamlined operations, eliminated redundancies, and maximized assets across personnel, facilities, systems, and sales.</t>
  </si>
  <si>
    <t>Longstanding operating theme across portfolio materials</t>
  </si>
  <si>
    <t>Operations Executive</t>
  </si>
  <si>
    <t>process improvement; efficiency; operating model; productivity</t>
  </si>
  <si>
    <t>Who I Am + Operations Resumes</t>
  </si>
  <si>
    <t>Supported by multiple sources</t>
  </si>
  <si>
    <t>E047</t>
  </si>
  <si>
    <t>Inventory / Warehouse Controls</t>
  </si>
  <si>
    <t>Created inventory controls and warehouse-management processes and systems.</t>
  </si>
  <si>
    <t>First inventory-control system; 60% processing reduction</t>
  </si>
  <si>
    <t>Logistics / warehousing</t>
  </si>
  <si>
    <t>inventory control; WMS; warehouse; ERP; process</t>
  </si>
  <si>
    <t>Senior Operations Resumes</t>
  </si>
  <si>
    <t>E048</t>
  </si>
  <si>
    <t>Sales Management</t>
  </si>
  <si>
    <t>Sales Team Buildout</t>
  </si>
  <si>
    <t>Built and directed sales teams, field teams, phone-center scripts, training materials, and marketing outreach.</t>
  </si>
  <si>
    <t>Sales revenues increased 3x in older operations resume</t>
  </si>
  <si>
    <t>VP Sales &amp; Operations</t>
  </si>
  <si>
    <t>Logistics / sales</t>
  </si>
  <si>
    <t>sales management; scripts; phone center; field sales; training</t>
  </si>
  <si>
    <t>E049</t>
  </si>
  <si>
    <t>Marketing</t>
  </si>
  <si>
    <t>Marketing &amp; Campaign Execution</t>
  </si>
  <si>
    <t>Implemented newsletters, MailChimp outreach, campaign activity, client acquisition analysis, and trade-show/event initiatives.</t>
  </si>
  <si>
    <t>Multiple programs and national campaigns cited</t>
  </si>
  <si>
    <t>Sales / Operations / Consultant</t>
  </si>
  <si>
    <t>MailChimp; campaigns; trade shows; marketing analytics; outreach</t>
  </si>
  <si>
    <t>Sales + Operations Resumes</t>
  </si>
  <si>
    <t>Verified across source resumes</t>
  </si>
  <si>
    <t>E050</t>
  </si>
  <si>
    <t>Strategic Consulting</t>
  </si>
  <si>
    <t>Large-Organization Advisory</t>
  </si>
  <si>
    <t>Developed operational and performance-improvement strategies for large organizations and major brands.</t>
  </si>
  <si>
    <t>$50M+ organizations; Amex Open, Ogilvy, Chubb/PFP cited</t>
  </si>
  <si>
    <t>Monark / Consulting</t>
  </si>
  <si>
    <t>COO / Consultant</t>
  </si>
  <si>
    <t>Consulting / financial services / media</t>
  </si>
  <si>
    <t>consulting; performance improvement; Amex; Ogilvy; Chubb</t>
  </si>
  <si>
    <t>Operations + CFO Resumes</t>
  </si>
  <si>
    <t>E051</t>
  </si>
  <si>
    <t>International / NGO</t>
  </si>
  <si>
    <t>NGO Infrastructure</t>
  </si>
  <si>
    <t>Built or supported operational, accounting, governance, and program infrastructure for a UN-recognized/approved NGO serving children in Haiti.</t>
  </si>
  <si>
    <t>1,100–2,000+ children cited across versions</t>
  </si>
  <si>
    <t>Mission Lazarus / Consulting</t>
  </si>
  <si>
    <t>Executive / Advisor</t>
  </si>
  <si>
    <t>International nonprofit</t>
  </si>
  <si>
    <t>NGO; Haiti; governance; operations; nonprofit infrastructure</t>
  </si>
  <si>
    <t>Verified; beneficiary count varies by version/date</t>
  </si>
  <si>
    <t>E052</t>
  </si>
  <si>
    <t>International / Supply Chain</t>
  </si>
  <si>
    <t>Global Supply Chain</t>
  </si>
  <si>
    <t>Supported global potable-water initiative supply-chain planning from U.S. origin through international destinations.</t>
  </si>
  <si>
    <t>Santa Barbara → Miami → Haiti/India/Colombia cited</t>
  </si>
  <si>
    <t>SAI / Consulting</t>
  </si>
  <si>
    <t>Operations / Project Leader</t>
  </si>
  <si>
    <t>International / supply chain</t>
  </si>
  <si>
    <t>international logistics; potable water; supply chain; emerging markets</t>
  </si>
  <si>
    <t>Who I Am Deck</t>
  </si>
  <si>
    <t>Verified in portfolio source</t>
  </si>
  <si>
    <t>E053</t>
  </si>
  <si>
    <t>Education / Nonprofit</t>
  </si>
  <si>
    <t>Program Strategy</t>
  </si>
  <si>
    <t>Developed mission-driven education, entrepreneurship, and financial-literacy program strategies and monetization approaches.</t>
  </si>
  <si>
    <t>WIBO case response; JWA/DOE work cited elsewhere</t>
  </si>
  <si>
    <t>Executive / Director / Advisor</t>
  </si>
  <si>
    <t>Education / nonprofit</t>
  </si>
  <si>
    <t>curriculum; financial literacy; entrepreneurship; monetization; program strategy</t>
  </si>
  <si>
    <t>WIBO Response + WFD Resume</t>
  </si>
  <si>
    <t>Demonstrated capability / application work</t>
  </si>
  <si>
    <t>E054</t>
  </si>
  <si>
    <t>90-Day / Operating Roadmaps</t>
  </si>
  <si>
    <t>Demonstrated ability to structure stabilization, re-engagement, modernization, monetization, KPI, and operating roadmaps.</t>
  </si>
  <si>
    <t>90-day and six-month roadmap in WIBO case</t>
  </si>
  <si>
    <t>Application Case Study</t>
  </si>
  <si>
    <t>Executive Director Candidate</t>
  </si>
  <si>
    <t>Nonprofit / entrepreneurship</t>
  </si>
  <si>
    <t>90-day plan; stabilization; KPI; modernization; monetization</t>
  </si>
  <si>
    <t>WIBO ED Response</t>
  </si>
  <si>
    <t>Demonstrated analytical/work-product evidence</t>
  </si>
  <si>
    <t>E055</t>
  </si>
  <si>
    <t>Data &amp; Performance</t>
  </si>
  <si>
    <t>KPI / Analytics</t>
  </si>
  <si>
    <t>Uses dashboards, KPIs, data analysis, outcome measures, forecasts, and client/retention analytics to support decisions.</t>
  </si>
  <si>
    <t>Multiple dashboards / KPI / reporting references</t>
  </si>
  <si>
    <t>Executive / CFO / Operations</t>
  </si>
  <si>
    <t>KPI; dashboards; analytics; outcome measurement; forecasting</t>
  </si>
  <si>
    <t>E056</t>
  </si>
  <si>
    <t>People Leadership</t>
  </si>
  <si>
    <t>Coaching / Staff Development</t>
  </si>
  <si>
    <t>Demonstrated coaching, team development, training, and talent-development capability across sales, workforce, and operations settings.</t>
  </si>
  <si>
    <t>Testimonials + direct management experience</t>
  </si>
  <si>
    <t>Executive / Manager</t>
  </si>
  <si>
    <t>coaching; team development; staff training; mentoring; leadership</t>
  </si>
  <si>
    <t>Who I Am + Multiple Resumes</t>
  </si>
  <si>
    <t>Supported by source evidence</t>
  </si>
  <si>
    <t>E057</t>
  </si>
  <si>
    <t>Entrepreneurial Strategy</t>
  </si>
  <si>
    <t>Repeatedly built new ventures, products, programs, and operating systems from concept through execution.</t>
  </si>
  <si>
    <t>Multi-decade pattern across businesses and consulting</t>
  </si>
  <si>
    <t>Founder / Executive</t>
  </si>
  <si>
    <t>entrepreneurial; innovation; build; launch; strategy; execution</t>
  </si>
  <si>
    <t>Supported across sources</t>
  </si>
  <si>
    <t>Role Family</t>
  </si>
  <si>
    <t>Example Titles</t>
  </si>
  <si>
    <t>Primary Evidence Areas</t>
  </si>
  <si>
    <t>Priority</t>
  </si>
  <si>
    <t>Notes</t>
  </si>
  <si>
    <t>Finance Executive</t>
  </si>
  <si>
    <t>CFO; Chief Financial Officer; VP Finance; Head of Finance; Finance Director; Deputy CFO</t>
  </si>
  <si>
    <t>Strategic Finance; FP&amp;A; Liquidity; Audit; Controls; Capital; Board</t>
  </si>
  <si>
    <t>High</t>
  </si>
  <si>
    <t>Core finance lane</t>
  </si>
  <si>
    <t>Finance + Operations</t>
  </si>
  <si>
    <t>Chief Business Officer; CFO/COO; VP Finance &amp; Operations; Chief Administrative Officer</t>
  </si>
  <si>
    <t>Finance; Operations; Systems; Contracts; HR; Executive Leadership</t>
  </si>
  <si>
    <t>One of the strongest hybrid lanes</t>
  </si>
  <si>
    <t>COO; VP Operations; SVP Operations; Head of Operations; Managing Director, Operations</t>
  </si>
  <si>
    <t>P&amp;L; Team Leadership; ERP; Process Improvement; Procurement; Facilities</t>
  </si>
  <si>
    <t>Strong from Alluel, Fitness, Monark, Osborne</t>
  </si>
  <si>
    <t>Strategy / Growth</t>
  </si>
  <si>
    <t>Chief Strategy Officer; VP Strategy; VP Strategic Initiatives; Managing Director</t>
  </si>
  <si>
    <t>Contracts; Partnerships; Growth; Capital; Executive Advisory; Transformation</t>
  </si>
  <si>
    <t>Title-flexible lane</t>
  </si>
  <si>
    <t>Chief Development Officer; Chief Growth Officer; SVP/VP Business Development; Partnerships Executive</t>
  </si>
  <si>
    <t>Contracts; Institutional Partnerships; Revenue Growth; Fundraising; Sales</t>
  </si>
  <si>
    <t>Strong mission-driven and commercial evidence</t>
  </si>
  <si>
    <t>Workforce Executive</t>
  </si>
  <si>
    <t>Chief Workforce Officer; VP Workforce Development; Head of Employment Services; Workforce Director</t>
  </si>
  <si>
    <t>Program Design; Employer Partnerships; Placement; Outcomes; Government Funding</t>
  </si>
  <si>
    <t>Distinct workforce profile</t>
  </si>
  <si>
    <t>Programs / Social Impact</t>
  </si>
  <si>
    <t>Chief Program Officer; VP Programs; Managing Director, Programs; Social Enterprise Executive</t>
  </si>
  <si>
    <t>Program Scaling; Workforce; Public Funding; P&amp;L; Team Leadership</t>
  </si>
  <si>
    <t>Strong nonprofit/social-enterprise lane</t>
  </si>
  <si>
    <t>Executive Director</t>
  </si>
  <si>
    <t>Executive Director; President; Nonprofit CEO; Managing Director</t>
  </si>
  <si>
    <t>P&amp;L; Board; Fundraising; Programs; Operations; Revenue Diversification; Strategy</t>
  </si>
  <si>
    <t>Medium-High</t>
  </si>
  <si>
    <t>Use where organization size/scope aligns</t>
  </si>
  <si>
    <t>Public Sector / Contracts</t>
  </si>
  <si>
    <t>VP Government Programs; Government Contracts Executive; Public Sector Operations Director</t>
  </si>
  <si>
    <t>Government Contracts; Compliance; NYCHA/DHS; NYPA; Procurement</t>
  </si>
  <si>
    <t>NYC/NYS institutional experience</t>
  </si>
  <si>
    <t>Credit Union Executive; Small Business Finance Leader; Business Banking; Benefits/Insurance Strategy</t>
  </si>
  <si>
    <t>SME Finance; Credit Unions; Private Banking; Sales; Benefits; Series 7/63 history</t>
  </si>
  <si>
    <t>Medium</t>
  </si>
  <si>
    <t>Best for business-side financial-services roles</t>
  </si>
  <si>
    <t>Entrepreneurship / Venture</t>
  </si>
  <si>
    <t>Entrepreneurship Program Executive; Venture Builder; Small Business Services Director</t>
  </si>
  <si>
    <t>Founder experience; venture creation; curriculum; mentoring; monetization</t>
  </si>
  <si>
    <t>Relevant to economic-development organizations</t>
  </si>
  <si>
    <t>Resume ID</t>
  </si>
  <si>
    <t>Resume Type</t>
  </si>
  <si>
    <t>Primary Positioning</t>
  </si>
  <si>
    <t>Best Used For</t>
  </si>
  <si>
    <t>R001</t>
  </si>
  <si>
    <t>CFO Resume - current</t>
  </si>
  <si>
    <t>CFO / strategic finance / operations</t>
  </si>
  <si>
    <t>CFO, VP Finance, CBO, Finance &amp; Operations</t>
  </si>
  <si>
    <t>Active</t>
  </si>
  <si>
    <t>R002</t>
  </si>
  <si>
    <t>CFO Resume - alternate</t>
  </si>
  <si>
    <t>Alternate source and phrasing</t>
  </si>
  <si>
    <t>R003</t>
  </si>
  <si>
    <t>CFO Resume PDF</t>
  </si>
  <si>
    <t>Stable submission-format source</t>
  </si>
  <si>
    <t>R004</t>
  </si>
  <si>
    <t>Workforce Development Resume</t>
  </si>
  <si>
    <t>Workforce / employment systems / human services</t>
  </si>
  <si>
    <t>Workforce, programs, social impact</t>
  </si>
  <si>
    <t>R005</t>
  </si>
  <si>
    <t>VP Operations Resume</t>
  </si>
  <si>
    <t>Operations / logistics / systems / sales</t>
  </si>
  <si>
    <t>COO, VP Operations, business operations</t>
  </si>
  <si>
    <t>R006</t>
  </si>
  <si>
    <t>Deputy CFO Resume</t>
  </si>
  <si>
    <t>Finance transformation / controls / compliance</t>
  </si>
  <si>
    <t>Deputy CFO, VP Finance, CFO</t>
  </si>
  <si>
    <t>R007</t>
  </si>
  <si>
    <t>COO / Anthos Resume</t>
  </si>
  <si>
    <t>Operations + business development + nonprofit</t>
  </si>
  <si>
    <t>COO, Chief Business Officer, strategy</t>
  </si>
  <si>
    <t>R008</t>
  </si>
  <si>
    <t>PFP / Financial Services Resume</t>
  </si>
  <si>
    <t>Financial services / SME finance / benefits</t>
  </si>
  <si>
    <t>Financial services, business banking, credit unions</t>
  </si>
  <si>
    <t>R009</t>
  </si>
  <si>
    <t>Sales / BD / client acquisition</t>
  </si>
  <si>
    <t>Revenue, partnerships, growth roles</t>
  </si>
  <si>
    <t>R010</t>
  </si>
  <si>
    <t>CDO Resume</t>
  </si>
  <si>
    <t>Development / growth + finance crossover</t>
  </si>
  <si>
    <t>CDO, Chief Growth Officer, VP BD</t>
  </si>
  <si>
    <t>R011</t>
  </si>
  <si>
    <t>COO Resume 2026</t>
  </si>
  <si>
    <t>COO / finance / operations</t>
  </si>
  <si>
    <t>COO, VP Ops, finance-ops hybrid</t>
  </si>
  <si>
    <t>R012</t>
  </si>
  <si>
    <t>SVP Resume</t>
  </si>
  <si>
    <t>Strategic partnerships / business development</t>
  </si>
  <si>
    <t>SVP BD, partnerships, growth</t>
  </si>
  <si>
    <t>R013</t>
  </si>
  <si>
    <t>Operational detail / systems / logistics / sales</t>
  </si>
  <si>
    <t>Operations and systems roles</t>
  </si>
  <si>
    <t>Archive evidence</t>
  </si>
  <si>
    <t>R014</t>
  </si>
  <si>
    <t>Social enterprise / entrepreneurship / nonprofit</t>
  </si>
  <si>
    <t>Managing Director, ED, programs, ventures</t>
  </si>
  <si>
    <t>R015</t>
  </si>
  <si>
    <t>RZ/G.PLS Resume</t>
  </si>
  <si>
    <t>Social enterprise / growth / fundraising</t>
  </si>
  <si>
    <t>Development, social impact, ventures</t>
  </si>
  <si>
    <t>R016</t>
  </si>
  <si>
    <t>Executive TXT Resume</t>
  </si>
  <si>
    <t>Operations / Monark / Fitness evidence</t>
  </si>
  <si>
    <t>Operations and historical evidence</t>
  </si>
  <si>
    <t>R017</t>
  </si>
  <si>
    <t>Who I Am Portfolio</t>
  </si>
  <si>
    <t>Narrative, testimonials, projects, career positioning</t>
  </si>
  <si>
    <t>Cover letters, interview prep, executive narrative</t>
  </si>
  <si>
    <t>Supporting material</t>
  </si>
  <si>
    <t>R018</t>
  </si>
  <si>
    <t>WIBO ED Case Response</t>
  </si>
  <si>
    <t>Executive strategy work sample</t>
  </si>
  <si>
    <t>ED/CEO interviews; strategic reasoning</t>
  </si>
  <si>
    <t>R019</t>
  </si>
  <si>
    <t>HFNY VP Operations Job Description</t>
  </si>
  <si>
    <t>Example target job description</t>
  </si>
  <si>
    <t>Testing matcher against real role requirements</t>
  </si>
  <si>
    <t>Reference only</t>
  </si>
  <si>
    <t>Rule</t>
  </si>
  <si>
    <t>Value</t>
  </si>
  <si>
    <t>Purpose</t>
  </si>
  <si>
    <t>Minimum Match Score</t>
  </si>
  <si>
    <t>72</t>
  </si>
  <si>
    <t>Jobs below this score normally should not be surfaced unless strategically interesting</t>
  </si>
  <si>
    <t>Strong Match Threshold</t>
  </si>
  <si>
    <t>82</t>
  </si>
  <si>
    <t>Recommend applying and generate a tailored résumé draft</t>
  </si>
  <si>
    <t>Exceptional Match Threshold</t>
  </si>
  <si>
    <t>90</t>
  </si>
  <si>
    <t>Priority opportunity; surface prominently</t>
  </si>
  <si>
    <t>Title Match Weight</t>
  </si>
  <si>
    <t>8%</t>
  </si>
  <si>
    <t>Low weight so unusual titles are not missed</t>
  </si>
  <si>
    <t>Capability Match Weight</t>
  </si>
  <si>
    <t>38%</t>
  </si>
  <si>
    <t>Primary matching factor</t>
  </si>
  <si>
    <t>Achievement / Scope Match Weight</t>
  </si>
  <si>
    <t>24%</t>
  </si>
  <si>
    <t>Rewards comparable scale, complexity, and measurable outcomes</t>
  </si>
  <si>
    <t>Leadership / Seniority Weight</t>
  </si>
  <si>
    <t>12%</t>
  </si>
  <si>
    <t>Checks staff, P&amp;L, Board, executive scope</t>
  </si>
  <si>
    <t>Industry / Mission Match Weight</t>
  </si>
  <si>
    <t>10%</t>
  </si>
  <si>
    <t>Sector/context relevance</t>
  </si>
  <si>
    <t>Practical Constraints Weight</t>
  </si>
  <si>
    <t>Location, compensation, work arrangement, required credentials</t>
  </si>
  <si>
    <t>Conflict Metric Rule</t>
  </si>
  <si>
    <t>BLOCK</t>
  </si>
  <si>
    <t>Do not auto-insert unresolved/conflicting metrics into generated résumés</t>
  </si>
  <si>
    <t>Evidence Rule</t>
  </si>
  <si>
    <t>REQUIRED</t>
  </si>
  <si>
    <t>Every tailored résumé bullet must trace to at least one career-evidence record</t>
  </si>
  <si>
    <t>Non-Title Discovery</t>
  </si>
  <si>
    <t>ON</t>
  </si>
  <si>
    <t>Search responsibilities, competencies, and scope—not just job titles</t>
  </si>
  <si>
    <t>Conflict ID</t>
  </si>
  <si>
    <t>Topic</t>
  </si>
  <si>
    <t>Variant A</t>
  </si>
  <si>
    <t>Variant B / Other</t>
  </si>
  <si>
    <t>Recommended Database Treatment</t>
  </si>
  <si>
    <t>C001</t>
  </si>
  <si>
    <t>Osborne turnaround metric</t>
  </si>
  <si>
    <t>$1M deficit → 13% operating surplus</t>
  </si>
  <si>
    <t>17% deficit → 3% profit / $200K profit in older versions</t>
  </si>
  <si>
    <t>Use $1M deficit + 13% surplus only where current CFO/WFD resumes support it; retain older figures as historical variants.</t>
  </si>
  <si>
    <t>Review before automated use</t>
  </si>
  <si>
    <t>C002</t>
  </si>
  <si>
    <t>Osborne contract value</t>
  </si>
  <si>
    <t>$10M+ negotiated/structured</t>
  </si>
  <si>
    <t>$62.5M pipeline / contracts / targets in older resumes</t>
  </si>
  <si>
    <t>Treat $10M+ as conservative verified figure; do not auto-use $62.5M until specifically confirmed.</t>
  </si>
  <si>
    <t>Needs confirmation</t>
  </si>
  <si>
    <t>C003</t>
  </si>
  <si>
    <t>NYPA program size</t>
  </si>
  <si>
    <t>$2M cited in several resumes</t>
  </si>
  <si>
    <t>Other program records may reflect different award amounts</t>
  </si>
  <si>
    <t>Use the resume-specific $2M only when matching from those resumes; flag for confirmation if used in generated documents.</t>
  </si>
  <si>
    <t>C004</t>
  </si>
  <si>
    <t>International fundraising</t>
  </si>
  <si>
    <t>$350K in 3 months</t>
  </si>
  <si>
    <t>$3.5M in 90 days in newer CFO/Deputy CFO resumes</t>
  </si>
  <si>
    <t>Do not reconcile automatically. Treat as separate/possibly revised project claims until confirmed.</t>
  </si>
  <si>
    <t>C005</t>
  </si>
  <si>
    <t>Mission Lazarus reach</t>
  </si>
  <si>
    <t>1,100 children</t>
  </si>
  <si>
    <t>2,000+ children</t>
  </si>
  <si>
    <t>Use qualitative NGO infrastructure claim by default; only use counts when source-specific and confirmed.</t>
  </si>
  <si>
    <t>C006</t>
  </si>
  <si>
    <t>Fitness Collective scale timing</t>
  </si>
  <si>
    <t>$1M / 4,000 clients in 24 months</t>
  </si>
  <si>
    <t>$1M / 4,000 clients in 36 months</t>
  </si>
  <si>
    <t>Use $1M scale without timing by default unless confirmed.</t>
  </si>
  <si>
    <t>C007</t>
  </si>
  <si>
    <t>Fitness locations</t>
  </si>
  <si>
    <t>3 additional locations</t>
  </si>
  <si>
    <t>5 gyms / locations in other versions</t>
  </si>
  <si>
    <t>Use 'multi-location' or 'expanded to multiple locations' by default.</t>
  </si>
  <si>
    <t>C008</t>
  </si>
  <si>
    <t>Alluel DHS billing</t>
  </si>
  <si>
    <t>$500K per quarter in older ops resumes</t>
  </si>
  <si>
    <t>$500K per month in newer CFO/COO resumes</t>
  </si>
  <si>
    <t>Use current resume figure only with confirmation; otherwise state 'managed significant DHS billing/claims.'</t>
  </si>
  <si>
    <t>C009</t>
  </si>
  <si>
    <t>Alluel dates</t>
  </si>
  <si>
    <t>Nov 2021–Aug 2022</t>
  </si>
  <si>
    <t>2021–2023 in newer versions</t>
  </si>
  <si>
    <t>Use dates from the specific master resume selected for the application; flag mismatch.</t>
  </si>
  <si>
    <t>C010</t>
  </si>
  <si>
    <t>Years of experience</t>
  </si>
  <si>
    <t>18+ / 20+ / 25+</t>
  </si>
  <si>
    <t>Varies across document date and positioning</t>
  </si>
  <si>
    <t>Calculate from verified start year in final profile rather than copying a fixed years-of-experience claim.</t>
  </si>
  <si>
    <t>Resolve by formula/rule</t>
  </si>
  <si>
    <t>Dimension</t>
  </si>
  <si>
    <t>Preferred / Included</t>
  </si>
  <si>
    <t>Examples / Logic</t>
  </si>
  <si>
    <t>Weight / Treatment</t>
  </si>
  <si>
    <t>Role families</t>
  </si>
  <si>
    <t>Finance Executive; Finance + Operations; COO/Operations; Strategy/Growth; Business Development; Workforce; Social Enterprise; Programs; Managing Director; Executive Director; Public Sector</t>
  </si>
  <si>
    <t>Search by capability clusters, not exact title.</t>
  </si>
  <si>
    <t>Primary</t>
  </si>
  <si>
    <t>Seniority</t>
  </si>
  <si>
    <t>Director, Senior Director, VP, SVP, C-suite, Managing Director, Executive Director</t>
  </si>
  <si>
    <t>Allow title flexibility when scope matches executive-level evidence.</t>
  </si>
  <si>
    <t>Core finance</t>
  </si>
  <si>
    <t>FP&amp;A; budgeting; treasury; liquidity; cash flow; audit; controls; fund accounting; government grants/contracts; capital strategy</t>
  </si>
  <si>
    <t>Strongest finance match cluster.</t>
  </si>
  <si>
    <t>Core operations</t>
  </si>
  <si>
    <t>P&amp;L; team leadership; ERP/CRM; process improvement; vendor/procurement; facilities/logistics; HR; systems</t>
  </si>
  <si>
    <t>Strongest COO/operations cluster.</t>
  </si>
  <si>
    <t>Growth / BD</t>
  </si>
  <si>
    <t>Contracts; partnerships; revenue growth; sales leadership; institutional relationships; fundraising; monetization</t>
  </si>
  <si>
    <t>Use for CDO/BD/strategy roles.</t>
  </si>
  <si>
    <t>Workforce / programs</t>
  </si>
  <si>
    <t>Workforce development; employer partnerships; placements; training; justice-impacted populations; disability employment; government-funded programs</t>
  </si>
  <si>
    <t>Use for workforce/program/social-impact roles.</t>
  </si>
  <si>
    <t>Credit unions; benefits; insurance; SME finance; debt/equity; private placements; Series 7/63 history</t>
  </si>
  <si>
    <t>Useful for finance, fintech, banking, credit-union, CDFI-adjacent roles.</t>
  </si>
  <si>
    <t>Mission / sectors</t>
  </si>
  <si>
    <t>Nonprofit; human services; workforce; education; healthcare-adjacent; government; clean energy; financial services; social enterprise</t>
  </si>
  <si>
    <t>Sector match should improve score but not dominate capabilities.</t>
  </si>
  <si>
    <t>Title similarity</t>
  </si>
  <si>
    <t>Exact or adjacent title only</t>
  </si>
  <si>
    <t>Do not reject a role because title differs.</t>
  </si>
  <si>
    <t>Low</t>
  </si>
  <si>
    <t>Evidence integrity</t>
  </si>
  <si>
    <t>Only use evidence marked verified/supported; exclude unresolved conflict metrics from auto-generated resume bullets</t>
  </si>
  <si>
    <t>Human approval required for conflict-sheet items.</t>
  </si>
  <si>
    <t>Hard rule</t>
  </si>
  <si>
    <t>CLAVEL LAZARRE — MASTER CAREER DATABASE</t>
  </si>
  <si>
    <t>Metric</t>
  </si>
  <si>
    <t>Top Career Lanes</t>
  </si>
  <si>
    <t>Use</t>
  </si>
  <si>
    <t>Career evidence records</t>
  </si>
  <si>
    <t>CFO / VP Finance / Deputy CFO</t>
  </si>
  <si>
    <t>Chief Business Officer / CFO-COO</t>
  </si>
  <si>
    <t>Source documents/materials</t>
  </si>
  <si>
    <t>COO / VP / SVP Operations</t>
  </si>
  <si>
    <t>Conflict items to review</t>
  </si>
  <si>
    <t>CDO / Growth / Partnerships</t>
  </si>
  <si>
    <t>Strong-match threshold</t>
  </si>
  <si>
    <t>Workforce / Employment Services</t>
  </si>
  <si>
    <t>CPO / Managing Director</t>
  </si>
  <si>
    <t>SYSTEM PRINCIPLE: MATCH THE WORK, NOT JUST THE TITLE. Every résumé bullet must trace back to verified evidence.</t>
  </si>
  <si>
    <t>Strategy /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</si>
</sst>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 wrapText="1"/>
    </xf>
    <xf numFmtId="0" fontId="3" fillId="3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ont>
        <b/>
      </font>
      <fill>
        <patternFill patternType="solid"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CareerEvidenceTable" displayName="CareerEvidenceTable" ref="A1:K58" totalsRowShown="0">
  <tableColumns count="11">
    <tableColumn id="1" xr3:uid="{00000000-0010-0000-0000-000001000000}" name="Evidence ID"/>
    <tableColumn id="2" xr3:uid="{00000000-0010-0000-0000-000002000000}" name="Career Area"/>
    <tableColumn id="3" xr3:uid="{00000000-0010-0000-0000-000003000000}" name="Capability"/>
    <tableColumn id="4" xr3:uid="{00000000-0010-0000-0000-000004000000}" name="Verified Achievement / Experience"/>
    <tableColumn id="5" xr3:uid="{00000000-0010-0000-0000-000005000000}" name="Metric / Scope"/>
    <tableColumn id="6" xr3:uid="{00000000-0010-0000-0000-000006000000}" name="Organization"/>
    <tableColumn id="7" xr3:uid="{00000000-0010-0000-0000-000007000000}" name="Role"/>
    <tableColumn id="8" xr3:uid="{00000000-0010-0000-0000-000008000000}" name="Industry / Context"/>
    <tableColumn id="9" xr3:uid="{00000000-0010-0000-0000-000009000000}" name="Keywords"/>
    <tableColumn id="10" xr3:uid="{00000000-0010-0000-0000-00000A000000}" name="Source Resume"/>
    <tableColumn id="11" xr3:uid="{00000000-0010-0000-0000-00000B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1000000}" name="RoleFamiliesTable" displayName="RoleFamiliesTable" ref="A1:E12" totalsRowShown="0">
  <tableColumns count="5">
    <tableColumn id="1" xr3:uid="{00000000-0010-0000-0100-000001000000}" name="Role Family"/>
    <tableColumn id="2" xr3:uid="{00000000-0010-0000-0100-000002000000}" name="Example Titles"/>
    <tableColumn id="3" xr3:uid="{00000000-0010-0000-0100-000003000000}" name="Primary Evidence Areas"/>
    <tableColumn id="4" xr3:uid="{00000000-0010-0000-0100-000004000000}" name="Priority"/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SourceResumesTable" displayName="SourceResumesTable" ref="A1:E20" totalsRowShown="0">
  <tableColumns count="5">
    <tableColumn id="1" xr3:uid="{00000000-0010-0000-0200-000001000000}" name="Resume ID"/>
    <tableColumn id="2" xr3:uid="{00000000-0010-0000-0200-000002000000}" name="Resume Type"/>
    <tableColumn id="3" xr3:uid="{00000000-0010-0000-0200-000003000000}" name="Primary Positioning"/>
    <tableColumn id="4" xr3:uid="{00000000-0010-0000-0200-000004000000}" name="Best Used For"/>
    <tableColumn id="5" xr3:uid="{00000000-0010-0000-0200-000005000000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3000000}" name="SearchRulesTable" displayName="SearchRulesTable" ref="A1:C13" totalsRowShown="0">
  <tableColumns count="3">
    <tableColumn id="1" xr3:uid="{00000000-0010-0000-0300-000001000000}" name="Rule"/>
    <tableColumn id="2" xr3:uid="{00000000-0010-0000-0300-000002000000}" name="Value"/>
    <tableColumn id="3" xr3:uid="{00000000-0010-0000-0300-000003000000}" name="Purp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ConflictReviewTable" displayName="ConflictReviewTable" ref="A1:F11" totalsRowShown="0">
  <tableColumns count="6">
    <tableColumn id="1" xr3:uid="{00000000-0010-0000-0400-000001000000}" name="Conflict ID"/>
    <tableColumn id="2" xr3:uid="{00000000-0010-0000-0400-000002000000}" name="Topic"/>
    <tableColumn id="3" xr3:uid="{00000000-0010-0000-0400-000003000000}" name="Variant A"/>
    <tableColumn id="4" xr3:uid="{00000000-0010-0000-0400-000004000000}" name="Variant B / Other"/>
    <tableColumn id="5" xr3:uid="{00000000-0010-0000-0400-000005000000}" name="Recommended Database Treatment"/>
    <tableColumn id="6" xr3:uid="{00000000-0010-0000-0400-000006000000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SearchProfileTable" displayName="SearchProfileTable" ref="A1:D11" totalsRowShown="0">
  <tableColumns count="4">
    <tableColumn id="1" xr3:uid="{00000000-0010-0000-0500-000001000000}" name="Dimension"/>
    <tableColumn id="2" xr3:uid="{00000000-0010-0000-0500-000002000000}" name="Preferred / Included"/>
    <tableColumn id="3" xr3:uid="{00000000-0010-0000-0500-000003000000}" name="Examples / Logic"/>
    <tableColumn id="4" xr3:uid="{00000000-0010-0000-0500-000004000000}" name="Weight / Trea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tabSelected="1" workbookViewId="0"/>
  </sheetViews>
  <sheetFormatPr defaultRowHeight="14"/>
  <cols>
    <col min="1" max="1" width="10" customWidth="1"/>
    <col min="2" max="2" width="20" customWidth="1"/>
    <col min="3" max="3" width="24" customWidth="1"/>
    <col min="4" max="4" width="44" customWidth="1"/>
    <col min="5" max="5" width="24" customWidth="1"/>
    <col min="6" max="6" width="22" customWidth="1"/>
    <col min="7" max="7" width="24" customWidth="1"/>
    <col min="8" max="8" width="28" customWidth="1"/>
    <col min="9" max="9" width="36" customWidth="1"/>
    <col min="10" max="10" width="24" customWidth="1"/>
    <col min="11" max="11" width="28" customWidth="1"/>
  </cols>
  <sheetData>
    <row r="1" spans="1:11" ht="1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26.4" customHeight="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ht="17.649999999999999" customHeight="1">
      <c r="A3" s="2" t="s">
        <v>22</v>
      </c>
      <c r="B3" s="2" t="s">
        <v>12</v>
      </c>
      <c r="C3" s="2" t="s">
        <v>23</v>
      </c>
      <c r="D3" s="2" t="s">
        <v>24</v>
      </c>
      <c r="E3" s="2" t="s">
        <v>25</v>
      </c>
      <c r="F3" s="2" t="s">
        <v>16</v>
      </c>
      <c r="G3" s="2" t="s">
        <v>26</v>
      </c>
      <c r="H3" s="2" t="s">
        <v>27</v>
      </c>
      <c r="I3" s="2" t="s">
        <v>28</v>
      </c>
      <c r="J3" s="2" t="s">
        <v>20</v>
      </c>
      <c r="K3" s="2" t="s">
        <v>21</v>
      </c>
    </row>
    <row r="4" spans="1:11" ht="26.4" customHeight="1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35</v>
      </c>
      <c r="H4" s="2" t="s">
        <v>36</v>
      </c>
      <c r="I4" s="2" t="s">
        <v>37</v>
      </c>
      <c r="J4" s="2" t="s">
        <v>20</v>
      </c>
      <c r="K4" s="2" t="s">
        <v>21</v>
      </c>
    </row>
    <row r="5" spans="1:11" ht="26.4" customHeight="1">
      <c r="A5" s="2" t="s">
        <v>38</v>
      </c>
      <c r="B5" s="2" t="s">
        <v>39</v>
      </c>
      <c r="C5" s="2" t="s">
        <v>40</v>
      </c>
      <c r="D5" s="2" t="s">
        <v>41</v>
      </c>
      <c r="E5" s="2" t="s">
        <v>42</v>
      </c>
      <c r="F5" s="2" t="s">
        <v>34</v>
      </c>
      <c r="G5" s="2" t="s">
        <v>35</v>
      </c>
      <c r="H5" s="2" t="s">
        <v>43</v>
      </c>
      <c r="I5" s="2" t="s">
        <v>44</v>
      </c>
      <c r="J5" s="2" t="s">
        <v>20</v>
      </c>
      <c r="K5" s="2" t="s">
        <v>21</v>
      </c>
    </row>
    <row r="6" spans="1:11" ht="17.649999999999999" customHeight="1">
      <c r="A6" s="2" t="s">
        <v>45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34</v>
      </c>
      <c r="G6" s="2" t="s">
        <v>35</v>
      </c>
      <c r="H6" s="2" t="s">
        <v>50</v>
      </c>
      <c r="I6" s="2" t="s">
        <v>51</v>
      </c>
      <c r="J6" s="2" t="s">
        <v>20</v>
      </c>
      <c r="K6" s="2" t="s">
        <v>21</v>
      </c>
    </row>
    <row r="7" spans="1:11" ht="26.4" customHeight="1">
      <c r="A7" s="2" t="s">
        <v>52</v>
      </c>
      <c r="B7" s="2" t="s">
        <v>53</v>
      </c>
      <c r="C7" s="2" t="s">
        <v>54</v>
      </c>
      <c r="D7" s="2" t="s">
        <v>55</v>
      </c>
      <c r="E7" s="2" t="s">
        <v>56</v>
      </c>
      <c r="F7" s="2" t="s">
        <v>34</v>
      </c>
      <c r="G7" s="2" t="s">
        <v>35</v>
      </c>
      <c r="H7" s="2" t="s">
        <v>50</v>
      </c>
      <c r="I7" s="2" t="s">
        <v>57</v>
      </c>
      <c r="J7" s="2" t="s">
        <v>20</v>
      </c>
      <c r="K7" s="2" t="s">
        <v>21</v>
      </c>
    </row>
    <row r="8" spans="1:11" ht="26.4" customHeight="1">
      <c r="A8" s="2" t="s">
        <v>58</v>
      </c>
      <c r="B8" s="2" t="s">
        <v>59</v>
      </c>
      <c r="C8" s="2" t="s">
        <v>60</v>
      </c>
      <c r="D8" s="2" t="s">
        <v>61</v>
      </c>
      <c r="E8" s="2" t="s">
        <v>62</v>
      </c>
      <c r="F8" s="2" t="s">
        <v>34</v>
      </c>
      <c r="G8" s="2" t="s">
        <v>35</v>
      </c>
      <c r="H8" s="2" t="s">
        <v>63</v>
      </c>
      <c r="I8" s="2" t="s">
        <v>64</v>
      </c>
      <c r="J8" s="2" t="s">
        <v>20</v>
      </c>
      <c r="K8" s="2" t="s">
        <v>21</v>
      </c>
    </row>
    <row r="9" spans="1:11" ht="26.4" customHeight="1">
      <c r="A9" s="2" t="s">
        <v>65</v>
      </c>
      <c r="B9" s="2" t="s">
        <v>66</v>
      </c>
      <c r="C9" s="2" t="s">
        <v>67</v>
      </c>
      <c r="D9" s="2" t="s">
        <v>68</v>
      </c>
      <c r="E9" s="2" t="s">
        <v>69</v>
      </c>
      <c r="F9" s="2" t="s">
        <v>34</v>
      </c>
      <c r="G9" s="2" t="s">
        <v>35</v>
      </c>
      <c r="H9" s="2" t="s">
        <v>70</v>
      </c>
      <c r="I9" s="2" t="s">
        <v>71</v>
      </c>
      <c r="J9" s="2" t="s">
        <v>20</v>
      </c>
      <c r="K9" s="2" t="s">
        <v>21</v>
      </c>
    </row>
    <row r="10" spans="1:11" ht="26.4" customHeight="1">
      <c r="A10" s="2" t="s">
        <v>72</v>
      </c>
      <c r="B10" s="2" t="s">
        <v>73</v>
      </c>
      <c r="C10" s="2" t="s">
        <v>74</v>
      </c>
      <c r="D10" s="2" t="s">
        <v>75</v>
      </c>
      <c r="E10" s="2" t="s">
        <v>76</v>
      </c>
      <c r="F10" s="2" t="s">
        <v>34</v>
      </c>
      <c r="G10" s="2" t="s">
        <v>35</v>
      </c>
      <c r="H10" s="2" t="s">
        <v>50</v>
      </c>
      <c r="I10" s="2" t="s">
        <v>77</v>
      </c>
      <c r="J10" s="2" t="s">
        <v>20</v>
      </c>
      <c r="K10" s="2" t="s">
        <v>21</v>
      </c>
    </row>
    <row r="11" spans="1:11" ht="26.4" customHeight="1">
      <c r="A11" s="2" t="s">
        <v>78</v>
      </c>
      <c r="B11" s="2" t="s">
        <v>79</v>
      </c>
      <c r="C11" s="2" t="s">
        <v>80</v>
      </c>
      <c r="D11" s="2" t="s">
        <v>81</v>
      </c>
      <c r="E11" s="2" t="s">
        <v>82</v>
      </c>
      <c r="F11" s="2" t="s">
        <v>83</v>
      </c>
      <c r="G11" s="2" t="s">
        <v>84</v>
      </c>
      <c r="H11" s="2" t="s">
        <v>85</v>
      </c>
      <c r="I11" s="2" t="s">
        <v>86</v>
      </c>
      <c r="J11" s="2" t="s">
        <v>20</v>
      </c>
      <c r="K11" s="2" t="s">
        <v>21</v>
      </c>
    </row>
    <row r="12" spans="1:11" ht="26.4" customHeight="1">
      <c r="A12" s="2" t="s">
        <v>87</v>
      </c>
      <c r="B12" s="2" t="s">
        <v>88</v>
      </c>
      <c r="C12" s="2" t="s">
        <v>89</v>
      </c>
      <c r="D12" s="2" t="s">
        <v>90</v>
      </c>
      <c r="E12" s="2" t="s">
        <v>91</v>
      </c>
      <c r="F12" s="2" t="s">
        <v>83</v>
      </c>
      <c r="G12" s="2" t="s">
        <v>84</v>
      </c>
      <c r="H12" s="2" t="s">
        <v>92</v>
      </c>
      <c r="I12" s="2" t="s">
        <v>93</v>
      </c>
      <c r="J12" s="2" t="s">
        <v>94</v>
      </c>
      <c r="K12" s="2" t="s">
        <v>21</v>
      </c>
    </row>
    <row r="13" spans="1:11" ht="26.4" customHeight="1">
      <c r="A13" s="2" t="s">
        <v>95</v>
      </c>
      <c r="B13" s="2" t="s">
        <v>46</v>
      </c>
      <c r="C13" s="2" t="s">
        <v>96</v>
      </c>
      <c r="D13" s="2" t="s">
        <v>97</v>
      </c>
      <c r="E13" s="2" t="s">
        <v>98</v>
      </c>
      <c r="F13" s="2" t="s">
        <v>83</v>
      </c>
      <c r="G13" s="2" t="s">
        <v>84</v>
      </c>
      <c r="H13" s="2" t="s">
        <v>99</v>
      </c>
      <c r="I13" s="2" t="s">
        <v>100</v>
      </c>
      <c r="J13" s="2" t="s">
        <v>94</v>
      </c>
      <c r="K13" s="2" t="s">
        <v>21</v>
      </c>
    </row>
    <row r="14" spans="1:11" ht="17.649999999999999" customHeight="1">
      <c r="A14" s="2" t="s">
        <v>101</v>
      </c>
      <c r="B14" s="2" t="s">
        <v>102</v>
      </c>
      <c r="C14" s="2" t="s">
        <v>103</v>
      </c>
      <c r="D14" s="2" t="s">
        <v>104</v>
      </c>
      <c r="E14" s="2" t="s">
        <v>105</v>
      </c>
      <c r="F14" s="2" t="s">
        <v>83</v>
      </c>
      <c r="G14" s="2" t="s">
        <v>84</v>
      </c>
      <c r="H14" s="2" t="s">
        <v>106</v>
      </c>
      <c r="I14" s="2" t="s">
        <v>107</v>
      </c>
      <c r="J14" s="2" t="s">
        <v>94</v>
      </c>
      <c r="K14" s="2" t="s">
        <v>21</v>
      </c>
    </row>
    <row r="15" spans="1:11" ht="17.649999999999999" customHeight="1">
      <c r="A15" s="2" t="s">
        <v>108</v>
      </c>
      <c r="B15" s="2" t="s">
        <v>109</v>
      </c>
      <c r="C15" s="2" t="s">
        <v>110</v>
      </c>
      <c r="D15" s="2" t="s">
        <v>111</v>
      </c>
      <c r="E15" s="2" t="s">
        <v>112</v>
      </c>
      <c r="F15" s="2" t="s">
        <v>113</v>
      </c>
      <c r="G15" s="2" t="s">
        <v>114</v>
      </c>
      <c r="H15" s="2" t="s">
        <v>115</v>
      </c>
      <c r="I15" s="2" t="s">
        <v>116</v>
      </c>
      <c r="J15" s="2" t="s">
        <v>20</v>
      </c>
      <c r="K15" s="2" t="s">
        <v>21</v>
      </c>
    </row>
    <row r="16" spans="1:11" ht="26.4" customHeight="1">
      <c r="A16" s="2" t="s">
        <v>117</v>
      </c>
      <c r="B16" s="2" t="s">
        <v>118</v>
      </c>
      <c r="C16" s="2" t="s">
        <v>119</v>
      </c>
      <c r="D16" s="2" t="s">
        <v>120</v>
      </c>
      <c r="E16" s="2" t="s">
        <v>121</v>
      </c>
      <c r="F16" s="2" t="s">
        <v>113</v>
      </c>
      <c r="G16" s="2" t="s">
        <v>114</v>
      </c>
      <c r="H16" s="2" t="s">
        <v>122</v>
      </c>
      <c r="I16" s="2" t="s">
        <v>123</v>
      </c>
      <c r="J16" s="2" t="s">
        <v>20</v>
      </c>
      <c r="K16" s="2" t="s">
        <v>21</v>
      </c>
    </row>
    <row r="17" spans="1:11" ht="17.649999999999999" customHeight="1">
      <c r="A17" s="2" t="s">
        <v>124</v>
      </c>
      <c r="B17" s="2" t="s">
        <v>125</v>
      </c>
      <c r="C17" s="2" t="s">
        <v>126</v>
      </c>
      <c r="D17" s="2" t="s">
        <v>127</v>
      </c>
      <c r="E17" s="2" t="s">
        <v>128</v>
      </c>
      <c r="F17" s="2" t="s">
        <v>113</v>
      </c>
      <c r="G17" s="2" t="s">
        <v>114</v>
      </c>
      <c r="H17" s="2" t="s">
        <v>129</v>
      </c>
      <c r="I17" s="2" t="s">
        <v>130</v>
      </c>
      <c r="J17" s="2" t="s">
        <v>20</v>
      </c>
      <c r="K17" s="2" t="s">
        <v>21</v>
      </c>
    </row>
    <row r="18" spans="1:11" ht="26.4" customHeight="1">
      <c r="A18" s="2" t="s">
        <v>131</v>
      </c>
      <c r="B18" s="2" t="s">
        <v>132</v>
      </c>
      <c r="C18" s="2" t="s">
        <v>133</v>
      </c>
      <c r="D18" s="2" t="s">
        <v>134</v>
      </c>
      <c r="E18" s="2" t="s">
        <v>135</v>
      </c>
      <c r="F18" s="2" t="s">
        <v>136</v>
      </c>
      <c r="G18" s="2" t="s">
        <v>137</v>
      </c>
      <c r="H18" s="2" t="s">
        <v>138</v>
      </c>
      <c r="I18" s="2" t="s">
        <v>139</v>
      </c>
      <c r="J18" s="2" t="s">
        <v>20</v>
      </c>
      <c r="K18" s="2" t="s">
        <v>21</v>
      </c>
    </row>
    <row r="19" spans="1:11" ht="17.649999999999999" customHeight="1">
      <c r="A19" s="2" t="s">
        <v>140</v>
      </c>
      <c r="B19" s="2" t="s">
        <v>141</v>
      </c>
      <c r="C19" s="2" t="s">
        <v>142</v>
      </c>
      <c r="D19" s="2" t="s">
        <v>143</v>
      </c>
      <c r="E19" s="2" t="s">
        <v>144</v>
      </c>
      <c r="F19" s="2" t="s">
        <v>136</v>
      </c>
      <c r="G19" s="2" t="s">
        <v>137</v>
      </c>
      <c r="H19" s="2" t="s">
        <v>145</v>
      </c>
      <c r="I19" s="2" t="s">
        <v>146</v>
      </c>
      <c r="J19" s="2" t="s">
        <v>20</v>
      </c>
      <c r="K19" s="2" t="s">
        <v>21</v>
      </c>
    </row>
    <row r="20" spans="1:11" ht="17.649999999999999" customHeight="1">
      <c r="A20" s="2" t="s">
        <v>147</v>
      </c>
      <c r="B20" s="2" t="s">
        <v>148</v>
      </c>
      <c r="C20" s="2" t="s">
        <v>149</v>
      </c>
      <c r="D20" s="2" t="s">
        <v>150</v>
      </c>
      <c r="E20" s="2" t="s">
        <v>151</v>
      </c>
      <c r="F20" s="2" t="s">
        <v>34</v>
      </c>
      <c r="G20" s="2" t="s">
        <v>152</v>
      </c>
      <c r="H20" s="2" t="s">
        <v>153</v>
      </c>
      <c r="I20" s="2" t="s">
        <v>154</v>
      </c>
      <c r="J20" s="2" t="s">
        <v>155</v>
      </c>
      <c r="K20" s="2" t="s">
        <v>21</v>
      </c>
    </row>
    <row r="21" spans="1:11" ht="26.4" customHeight="1">
      <c r="A21" s="2" t="s">
        <v>156</v>
      </c>
      <c r="B21" s="2" t="s">
        <v>148</v>
      </c>
      <c r="C21" s="2" t="s">
        <v>157</v>
      </c>
      <c r="D21" s="2" t="s">
        <v>158</v>
      </c>
      <c r="E21" s="2" t="s">
        <v>159</v>
      </c>
      <c r="F21" s="2" t="s">
        <v>34</v>
      </c>
      <c r="G21" s="2" t="s">
        <v>152</v>
      </c>
      <c r="H21" s="2" t="s">
        <v>160</v>
      </c>
      <c r="I21" s="2" t="s">
        <v>161</v>
      </c>
      <c r="J21" s="2" t="s">
        <v>155</v>
      </c>
      <c r="K21" s="2" t="s">
        <v>21</v>
      </c>
    </row>
    <row r="22" spans="1:11" ht="26.4" customHeight="1">
      <c r="A22" s="2" t="s">
        <v>162</v>
      </c>
      <c r="B22" s="2" t="s">
        <v>163</v>
      </c>
      <c r="C22" s="2" t="s">
        <v>164</v>
      </c>
      <c r="D22" s="2" t="s">
        <v>165</v>
      </c>
      <c r="E22" s="2" t="s">
        <v>166</v>
      </c>
      <c r="F22" s="2" t="s">
        <v>34</v>
      </c>
      <c r="G22" s="2" t="s">
        <v>152</v>
      </c>
      <c r="H22" s="2" t="s">
        <v>167</v>
      </c>
      <c r="I22" s="2" t="s">
        <v>168</v>
      </c>
      <c r="J22" s="2" t="s">
        <v>155</v>
      </c>
      <c r="K22" s="2" t="s">
        <v>21</v>
      </c>
    </row>
    <row r="23" spans="1:11" ht="26.4" customHeight="1">
      <c r="A23" s="2" t="s">
        <v>169</v>
      </c>
      <c r="B23" s="2" t="s">
        <v>170</v>
      </c>
      <c r="C23" s="2" t="s">
        <v>171</v>
      </c>
      <c r="D23" s="2" t="s">
        <v>172</v>
      </c>
      <c r="E23" s="2" t="s">
        <v>173</v>
      </c>
      <c r="F23" s="2" t="s">
        <v>34</v>
      </c>
      <c r="G23" s="2" t="s">
        <v>152</v>
      </c>
      <c r="H23" s="2" t="s">
        <v>174</v>
      </c>
      <c r="I23" s="2" t="s">
        <v>175</v>
      </c>
      <c r="J23" s="2" t="s">
        <v>155</v>
      </c>
      <c r="K23" s="2" t="s">
        <v>21</v>
      </c>
    </row>
    <row r="24" spans="1:11" ht="26.4" customHeight="1">
      <c r="A24" s="2" t="s">
        <v>176</v>
      </c>
      <c r="B24" s="2" t="s">
        <v>177</v>
      </c>
      <c r="C24" s="2" t="s">
        <v>178</v>
      </c>
      <c r="D24" s="2" t="s">
        <v>179</v>
      </c>
      <c r="E24" s="2" t="s">
        <v>180</v>
      </c>
      <c r="F24" s="2" t="s">
        <v>34</v>
      </c>
      <c r="G24" s="2" t="s">
        <v>152</v>
      </c>
      <c r="H24" s="2" t="s">
        <v>181</v>
      </c>
      <c r="I24" s="2" t="s">
        <v>182</v>
      </c>
      <c r="J24" s="2" t="s">
        <v>155</v>
      </c>
      <c r="K24" s="2" t="s">
        <v>21</v>
      </c>
    </row>
    <row r="25" spans="1:11" ht="26.4" customHeight="1">
      <c r="A25" s="2" t="s">
        <v>183</v>
      </c>
      <c r="B25" s="2" t="s">
        <v>148</v>
      </c>
      <c r="C25" s="2" t="s">
        <v>184</v>
      </c>
      <c r="D25" s="2" t="s">
        <v>185</v>
      </c>
      <c r="E25" s="2" t="s">
        <v>186</v>
      </c>
      <c r="F25" s="2" t="s">
        <v>83</v>
      </c>
      <c r="G25" s="2" t="s">
        <v>187</v>
      </c>
      <c r="H25" s="2" t="s">
        <v>188</v>
      </c>
      <c r="I25" s="2" t="s">
        <v>189</v>
      </c>
      <c r="J25" s="2" t="s">
        <v>155</v>
      </c>
      <c r="K25" s="2" t="s">
        <v>21</v>
      </c>
    </row>
    <row r="26" spans="1:11" ht="17.649999999999999" customHeight="1">
      <c r="A26" s="2" t="s">
        <v>190</v>
      </c>
      <c r="B26" s="2" t="s">
        <v>148</v>
      </c>
      <c r="C26" s="2" t="s">
        <v>191</v>
      </c>
      <c r="D26" s="2" t="s">
        <v>192</v>
      </c>
      <c r="E26" s="2" t="s">
        <v>193</v>
      </c>
      <c r="F26" s="2" t="s">
        <v>83</v>
      </c>
      <c r="G26" s="2" t="s">
        <v>187</v>
      </c>
      <c r="H26" s="2" t="s">
        <v>194</v>
      </c>
      <c r="I26" s="2" t="s">
        <v>195</v>
      </c>
      <c r="J26" s="2" t="s">
        <v>155</v>
      </c>
      <c r="K26" s="2" t="s">
        <v>21</v>
      </c>
    </row>
    <row r="27" spans="1:11" ht="26.4" customHeight="1">
      <c r="A27" s="2" t="s">
        <v>196</v>
      </c>
      <c r="B27" s="2" t="s">
        <v>197</v>
      </c>
      <c r="C27" s="2" t="s">
        <v>198</v>
      </c>
      <c r="D27" s="2" t="s">
        <v>199</v>
      </c>
      <c r="E27" s="2" t="s">
        <v>200</v>
      </c>
      <c r="F27" s="2" t="s">
        <v>83</v>
      </c>
      <c r="G27" s="2" t="s">
        <v>187</v>
      </c>
      <c r="H27" s="2" t="s">
        <v>201</v>
      </c>
      <c r="I27" s="2" t="s">
        <v>202</v>
      </c>
      <c r="J27" s="2" t="s">
        <v>155</v>
      </c>
      <c r="K27" s="2" t="s">
        <v>21</v>
      </c>
    </row>
    <row r="28" spans="1:11" ht="26.4" customHeight="1">
      <c r="A28" s="2" t="s">
        <v>203</v>
      </c>
      <c r="B28" s="2" t="s">
        <v>204</v>
      </c>
      <c r="C28" s="2" t="s">
        <v>205</v>
      </c>
      <c r="D28" s="2" t="s">
        <v>206</v>
      </c>
      <c r="E28" s="2" t="s">
        <v>207</v>
      </c>
      <c r="F28" s="2" t="s">
        <v>83</v>
      </c>
      <c r="G28" s="2" t="s">
        <v>187</v>
      </c>
      <c r="H28" s="2" t="s">
        <v>99</v>
      </c>
      <c r="I28" s="2" t="s">
        <v>208</v>
      </c>
      <c r="J28" s="2" t="s">
        <v>94</v>
      </c>
      <c r="K28" s="2" t="s">
        <v>21</v>
      </c>
    </row>
    <row r="29" spans="1:11" ht="26.4" customHeight="1">
      <c r="A29" s="2" t="s">
        <v>209</v>
      </c>
      <c r="B29" s="2" t="s">
        <v>210</v>
      </c>
      <c r="C29" s="2" t="s">
        <v>211</v>
      </c>
      <c r="D29" s="2" t="s">
        <v>212</v>
      </c>
      <c r="E29" s="2" t="s">
        <v>213</v>
      </c>
      <c r="F29" s="2" t="s">
        <v>214</v>
      </c>
      <c r="G29" s="2" t="s">
        <v>215</v>
      </c>
      <c r="H29" s="2" t="s">
        <v>216</v>
      </c>
      <c r="I29" s="2" t="s">
        <v>217</v>
      </c>
      <c r="J29" s="2" t="s">
        <v>218</v>
      </c>
      <c r="K29" s="2" t="s">
        <v>219</v>
      </c>
    </row>
    <row r="30" spans="1:11" ht="26.4" customHeight="1">
      <c r="A30" s="2" t="s">
        <v>220</v>
      </c>
      <c r="B30" s="2" t="s">
        <v>210</v>
      </c>
      <c r="C30" s="2" t="s">
        <v>221</v>
      </c>
      <c r="D30" s="2" t="s">
        <v>222</v>
      </c>
      <c r="E30" s="2" t="s">
        <v>223</v>
      </c>
      <c r="F30" s="2" t="s">
        <v>214</v>
      </c>
      <c r="G30" s="2" t="s">
        <v>215</v>
      </c>
      <c r="H30" s="2" t="s">
        <v>224</v>
      </c>
      <c r="I30" s="2" t="s">
        <v>225</v>
      </c>
      <c r="J30" s="2" t="s">
        <v>218</v>
      </c>
      <c r="K30" s="2" t="s">
        <v>219</v>
      </c>
    </row>
    <row r="31" spans="1:11" ht="26.4" customHeight="1">
      <c r="A31" s="2" t="s">
        <v>226</v>
      </c>
      <c r="B31" s="2" t="s">
        <v>227</v>
      </c>
      <c r="C31" s="2" t="s">
        <v>228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233</v>
      </c>
      <c r="I31" s="2" t="s">
        <v>234</v>
      </c>
      <c r="J31" s="2" t="s">
        <v>235</v>
      </c>
      <c r="K31" s="2" t="s">
        <v>219</v>
      </c>
    </row>
    <row r="32" spans="1:11" ht="35.15" customHeight="1">
      <c r="A32" s="2" t="s">
        <v>236</v>
      </c>
      <c r="B32" s="2" t="s">
        <v>227</v>
      </c>
      <c r="C32" s="2" t="s">
        <v>237</v>
      </c>
      <c r="D32" s="2" t="s">
        <v>238</v>
      </c>
      <c r="E32" s="2" t="s">
        <v>239</v>
      </c>
      <c r="F32" s="2" t="s">
        <v>240</v>
      </c>
      <c r="G32" s="2" t="s">
        <v>241</v>
      </c>
      <c r="H32" s="2" t="s">
        <v>242</v>
      </c>
      <c r="I32" s="2" t="s">
        <v>243</v>
      </c>
      <c r="J32" s="2" t="s">
        <v>244</v>
      </c>
      <c r="K32" s="2" t="s">
        <v>245</v>
      </c>
    </row>
    <row r="33" spans="1:11" ht="26.4" customHeight="1">
      <c r="A33" s="2" t="s">
        <v>246</v>
      </c>
      <c r="B33" s="2" t="s">
        <v>247</v>
      </c>
      <c r="C33" s="2" t="s">
        <v>248</v>
      </c>
      <c r="D33" s="2" t="s">
        <v>249</v>
      </c>
      <c r="E33" s="2" t="s">
        <v>250</v>
      </c>
      <c r="F33" s="2" t="s">
        <v>251</v>
      </c>
      <c r="G33" s="2" t="s">
        <v>252</v>
      </c>
      <c r="H33" s="2" t="s">
        <v>253</v>
      </c>
      <c r="I33" s="2" t="s">
        <v>254</v>
      </c>
      <c r="J33" s="2" t="s">
        <v>255</v>
      </c>
      <c r="K33" s="2" t="s">
        <v>256</v>
      </c>
    </row>
    <row r="34" spans="1:11" ht="26.4" customHeight="1">
      <c r="A34" s="2" t="s">
        <v>257</v>
      </c>
      <c r="B34" s="2" t="s">
        <v>258</v>
      </c>
      <c r="C34" s="2" t="s">
        <v>259</v>
      </c>
      <c r="D34" s="2" t="s">
        <v>260</v>
      </c>
      <c r="E34" s="2" t="s">
        <v>261</v>
      </c>
      <c r="F34" s="2" t="s">
        <v>262</v>
      </c>
      <c r="G34" s="2" t="s">
        <v>263</v>
      </c>
      <c r="H34" s="2" t="s">
        <v>264</v>
      </c>
      <c r="I34" s="2" t="s">
        <v>265</v>
      </c>
      <c r="J34" s="2" t="s">
        <v>266</v>
      </c>
      <c r="K34" s="2" t="s">
        <v>256</v>
      </c>
    </row>
    <row r="35" spans="1:11" ht="26.4" customHeight="1">
      <c r="A35" s="2" t="s">
        <v>267</v>
      </c>
      <c r="B35" s="2" t="s">
        <v>268</v>
      </c>
      <c r="C35" s="2" t="s">
        <v>269</v>
      </c>
      <c r="D35" s="2" t="s">
        <v>270</v>
      </c>
      <c r="E35" s="2" t="s">
        <v>271</v>
      </c>
      <c r="F35" s="2" t="s">
        <v>262</v>
      </c>
      <c r="G35" s="2" t="s">
        <v>272</v>
      </c>
      <c r="H35" s="2" t="s">
        <v>273</v>
      </c>
      <c r="I35" s="2" t="s">
        <v>274</v>
      </c>
      <c r="J35" s="2" t="s">
        <v>275</v>
      </c>
      <c r="K35" s="2" t="s">
        <v>256</v>
      </c>
    </row>
    <row r="36" spans="1:11" ht="26.4" customHeight="1">
      <c r="A36" s="2" t="s">
        <v>276</v>
      </c>
      <c r="B36" s="2" t="s">
        <v>277</v>
      </c>
      <c r="C36" s="2" t="s">
        <v>278</v>
      </c>
      <c r="D36" s="2" t="s">
        <v>279</v>
      </c>
      <c r="E36" s="2" t="s">
        <v>280</v>
      </c>
      <c r="F36" s="2" t="s">
        <v>262</v>
      </c>
      <c r="G36" s="2" t="s">
        <v>281</v>
      </c>
      <c r="H36" s="2" t="s">
        <v>282</v>
      </c>
      <c r="I36" s="2" t="s">
        <v>283</v>
      </c>
      <c r="J36" s="2" t="s">
        <v>284</v>
      </c>
      <c r="K36" s="2" t="s">
        <v>285</v>
      </c>
    </row>
    <row r="37" spans="1:11" ht="26.4" customHeight="1">
      <c r="A37" s="2" t="s">
        <v>286</v>
      </c>
      <c r="B37" s="2" t="s">
        <v>287</v>
      </c>
      <c r="C37" s="2" t="s">
        <v>288</v>
      </c>
      <c r="D37" s="2" t="s">
        <v>289</v>
      </c>
      <c r="E37" s="2" t="s">
        <v>290</v>
      </c>
      <c r="F37" s="2" t="s">
        <v>262</v>
      </c>
      <c r="G37" s="2" t="s">
        <v>281</v>
      </c>
      <c r="H37" s="2" t="s">
        <v>291</v>
      </c>
      <c r="I37" s="2" t="s">
        <v>292</v>
      </c>
      <c r="J37" s="2" t="s">
        <v>293</v>
      </c>
      <c r="K37" s="2" t="s">
        <v>245</v>
      </c>
    </row>
    <row r="38" spans="1:11" ht="26.4" customHeight="1">
      <c r="A38" s="2" t="s">
        <v>294</v>
      </c>
      <c r="B38" s="2" t="s">
        <v>295</v>
      </c>
      <c r="C38" s="2" t="s">
        <v>296</v>
      </c>
      <c r="D38" s="2" t="s">
        <v>297</v>
      </c>
      <c r="E38" s="2" t="s">
        <v>298</v>
      </c>
      <c r="F38" s="2" t="s">
        <v>262</v>
      </c>
      <c r="G38" s="2" t="s">
        <v>281</v>
      </c>
      <c r="H38" s="2" t="s">
        <v>299</v>
      </c>
      <c r="I38" s="2" t="s">
        <v>300</v>
      </c>
      <c r="J38" s="2" t="s">
        <v>301</v>
      </c>
      <c r="K38" s="2" t="s">
        <v>256</v>
      </c>
    </row>
    <row r="39" spans="1:11" ht="26.4" customHeight="1">
      <c r="A39" s="2" t="s">
        <v>302</v>
      </c>
      <c r="B39" s="2" t="s">
        <v>118</v>
      </c>
      <c r="C39" s="2" t="s">
        <v>303</v>
      </c>
      <c r="D39" s="2" t="s">
        <v>304</v>
      </c>
      <c r="E39" s="2" t="s">
        <v>305</v>
      </c>
      <c r="F39" s="2" t="s">
        <v>16</v>
      </c>
      <c r="G39" s="2" t="s">
        <v>306</v>
      </c>
      <c r="H39" s="2" t="s">
        <v>307</v>
      </c>
      <c r="I39" s="2" t="s">
        <v>308</v>
      </c>
      <c r="J39" s="2" t="s">
        <v>255</v>
      </c>
      <c r="K39" s="2" t="s">
        <v>256</v>
      </c>
    </row>
    <row r="40" spans="1:11" ht="26.4" customHeight="1">
      <c r="A40" s="2" t="s">
        <v>309</v>
      </c>
      <c r="B40" s="2" t="s">
        <v>102</v>
      </c>
      <c r="C40" s="2" t="s">
        <v>310</v>
      </c>
      <c r="D40" s="2" t="s">
        <v>311</v>
      </c>
      <c r="E40" s="2" t="s">
        <v>312</v>
      </c>
      <c r="F40" s="2" t="s">
        <v>313</v>
      </c>
      <c r="G40" s="2" t="s">
        <v>314</v>
      </c>
      <c r="H40" s="2" t="s">
        <v>315</v>
      </c>
      <c r="I40" s="2" t="s">
        <v>316</v>
      </c>
      <c r="J40" s="2" t="s">
        <v>255</v>
      </c>
      <c r="K40" s="2" t="s">
        <v>256</v>
      </c>
    </row>
    <row r="41" spans="1:11" ht="26.4" customHeight="1">
      <c r="A41" s="2" t="s">
        <v>317</v>
      </c>
      <c r="B41" s="2" t="s">
        <v>318</v>
      </c>
      <c r="C41" s="2" t="s">
        <v>319</v>
      </c>
      <c r="D41" s="2" t="s">
        <v>320</v>
      </c>
      <c r="E41" s="2" t="s">
        <v>321</v>
      </c>
      <c r="F41" s="2" t="s">
        <v>83</v>
      </c>
      <c r="G41" s="2" t="s">
        <v>84</v>
      </c>
      <c r="H41" s="2" t="s">
        <v>322</v>
      </c>
      <c r="I41" s="2" t="s">
        <v>323</v>
      </c>
      <c r="J41" s="2" t="s">
        <v>324</v>
      </c>
      <c r="K41" s="2" t="s">
        <v>245</v>
      </c>
    </row>
    <row r="42" spans="1:11" ht="35.15" customHeight="1">
      <c r="A42" s="2" t="s">
        <v>325</v>
      </c>
      <c r="B42" s="2" t="s">
        <v>326</v>
      </c>
      <c r="C42" s="2" t="s">
        <v>327</v>
      </c>
      <c r="D42" s="2" t="s">
        <v>328</v>
      </c>
      <c r="E42" s="2" t="s">
        <v>329</v>
      </c>
      <c r="F42" s="2" t="s">
        <v>330</v>
      </c>
      <c r="G42" s="2" t="s">
        <v>331</v>
      </c>
      <c r="H42" s="2" t="s">
        <v>332</v>
      </c>
      <c r="I42" s="2" t="s">
        <v>333</v>
      </c>
      <c r="J42" s="2" t="s">
        <v>334</v>
      </c>
      <c r="K42" s="2" t="s">
        <v>335</v>
      </c>
    </row>
    <row r="43" spans="1:11" ht="26.4" customHeight="1">
      <c r="A43" s="2" t="s">
        <v>336</v>
      </c>
      <c r="B43" s="2" t="s">
        <v>337</v>
      </c>
      <c r="C43" s="2" t="s">
        <v>338</v>
      </c>
      <c r="D43" s="2" t="s">
        <v>339</v>
      </c>
      <c r="E43" s="2" t="s">
        <v>340</v>
      </c>
      <c r="F43" s="2" t="s">
        <v>83</v>
      </c>
      <c r="G43" s="2" t="s">
        <v>84</v>
      </c>
      <c r="H43" s="2" t="s">
        <v>341</v>
      </c>
      <c r="I43" s="2" t="s">
        <v>342</v>
      </c>
      <c r="J43" s="2" t="s">
        <v>343</v>
      </c>
      <c r="K43" s="2" t="s">
        <v>219</v>
      </c>
    </row>
    <row r="44" spans="1:11" ht="26.4" customHeight="1">
      <c r="A44" s="2" t="s">
        <v>344</v>
      </c>
      <c r="B44" s="2" t="s">
        <v>337</v>
      </c>
      <c r="C44" s="2" t="s">
        <v>345</v>
      </c>
      <c r="D44" s="2" t="s">
        <v>346</v>
      </c>
      <c r="E44" s="2" t="s">
        <v>347</v>
      </c>
      <c r="F44" s="2" t="s">
        <v>83</v>
      </c>
      <c r="G44" s="2" t="s">
        <v>84</v>
      </c>
      <c r="H44" s="2" t="s">
        <v>348</v>
      </c>
      <c r="I44" s="2" t="s">
        <v>349</v>
      </c>
      <c r="J44" s="2" t="s">
        <v>255</v>
      </c>
      <c r="K44" s="2" t="s">
        <v>256</v>
      </c>
    </row>
    <row r="45" spans="1:11" ht="44" customHeight="1">
      <c r="A45" s="2" t="s">
        <v>350</v>
      </c>
      <c r="B45" s="2" t="s">
        <v>148</v>
      </c>
      <c r="C45" s="2" t="s">
        <v>351</v>
      </c>
      <c r="D45" s="2" t="s">
        <v>352</v>
      </c>
      <c r="E45" s="2" t="s">
        <v>353</v>
      </c>
      <c r="F45" s="2" t="s">
        <v>83</v>
      </c>
      <c r="G45" s="2" t="s">
        <v>187</v>
      </c>
      <c r="H45" s="2" t="s">
        <v>194</v>
      </c>
      <c r="I45" s="2" t="s">
        <v>354</v>
      </c>
      <c r="J45" s="2" t="s">
        <v>355</v>
      </c>
      <c r="K45" s="2" t="s">
        <v>356</v>
      </c>
    </row>
    <row r="46" spans="1:11" ht="35.15" customHeight="1">
      <c r="A46" s="2" t="s">
        <v>357</v>
      </c>
      <c r="B46" s="2" t="s">
        <v>148</v>
      </c>
      <c r="C46" s="2" t="s">
        <v>197</v>
      </c>
      <c r="D46" s="2" t="s">
        <v>358</v>
      </c>
      <c r="E46" s="2" t="s">
        <v>359</v>
      </c>
      <c r="F46" s="2" t="s">
        <v>360</v>
      </c>
      <c r="G46" s="2" t="s">
        <v>152</v>
      </c>
      <c r="H46" s="2" t="s">
        <v>361</v>
      </c>
      <c r="I46" s="2" t="s">
        <v>362</v>
      </c>
      <c r="J46" s="2" t="s">
        <v>363</v>
      </c>
      <c r="K46" s="2" t="s">
        <v>364</v>
      </c>
    </row>
    <row r="47" spans="1:11" ht="26.4" customHeight="1">
      <c r="A47" s="2" t="s">
        <v>365</v>
      </c>
      <c r="B47" s="2" t="s">
        <v>109</v>
      </c>
      <c r="C47" s="2" t="s">
        <v>366</v>
      </c>
      <c r="D47" s="2" t="s">
        <v>367</v>
      </c>
      <c r="E47" s="2" t="s">
        <v>368</v>
      </c>
      <c r="F47" s="2" t="s">
        <v>16</v>
      </c>
      <c r="G47" s="2" t="s">
        <v>369</v>
      </c>
      <c r="H47" s="2" t="s">
        <v>307</v>
      </c>
      <c r="I47" s="2" t="s">
        <v>370</v>
      </c>
      <c r="J47" s="2" t="s">
        <v>371</v>
      </c>
      <c r="K47" s="2" t="s">
        <v>372</v>
      </c>
    </row>
    <row r="48" spans="1:11" ht="26.4" customHeight="1">
      <c r="A48" s="2" t="s">
        <v>373</v>
      </c>
      <c r="B48" s="2" t="s">
        <v>109</v>
      </c>
      <c r="C48" s="2" t="s">
        <v>374</v>
      </c>
      <c r="D48" s="2" t="s">
        <v>375</v>
      </c>
      <c r="E48" s="2" t="s">
        <v>376</v>
      </c>
      <c r="F48" s="2" t="s">
        <v>113</v>
      </c>
      <c r="G48" s="2" t="s">
        <v>114</v>
      </c>
      <c r="H48" s="2" t="s">
        <v>377</v>
      </c>
      <c r="I48" s="2" t="s">
        <v>378</v>
      </c>
      <c r="J48" s="2" t="s">
        <v>379</v>
      </c>
      <c r="K48" s="2" t="s">
        <v>245</v>
      </c>
    </row>
    <row r="49" spans="1:11" ht="26.4" customHeight="1">
      <c r="A49" s="2" t="s">
        <v>380</v>
      </c>
      <c r="B49" s="2" t="s">
        <v>381</v>
      </c>
      <c r="C49" s="2" t="s">
        <v>382</v>
      </c>
      <c r="D49" s="2" t="s">
        <v>383</v>
      </c>
      <c r="E49" s="2" t="s">
        <v>384</v>
      </c>
      <c r="F49" s="2" t="s">
        <v>113</v>
      </c>
      <c r="G49" s="2" t="s">
        <v>385</v>
      </c>
      <c r="H49" s="2" t="s">
        <v>386</v>
      </c>
      <c r="I49" s="2" t="s">
        <v>387</v>
      </c>
      <c r="J49" s="2" t="s">
        <v>379</v>
      </c>
      <c r="K49" s="2" t="s">
        <v>219</v>
      </c>
    </row>
    <row r="50" spans="1:11" ht="26.4" customHeight="1">
      <c r="A50" s="2" t="s">
        <v>388</v>
      </c>
      <c r="B50" s="2" t="s">
        <v>389</v>
      </c>
      <c r="C50" s="2" t="s">
        <v>390</v>
      </c>
      <c r="D50" s="2" t="s">
        <v>391</v>
      </c>
      <c r="E50" s="2" t="s">
        <v>392</v>
      </c>
      <c r="F50" s="2" t="s">
        <v>16</v>
      </c>
      <c r="G50" s="2" t="s">
        <v>393</v>
      </c>
      <c r="H50" s="2" t="s">
        <v>307</v>
      </c>
      <c r="I50" s="2" t="s">
        <v>394</v>
      </c>
      <c r="J50" s="2" t="s">
        <v>395</v>
      </c>
      <c r="K50" s="2" t="s">
        <v>396</v>
      </c>
    </row>
    <row r="51" spans="1:11" ht="26.4" customHeight="1">
      <c r="A51" s="2" t="s">
        <v>397</v>
      </c>
      <c r="B51" s="2" t="s">
        <v>398</v>
      </c>
      <c r="C51" s="2" t="s">
        <v>399</v>
      </c>
      <c r="D51" s="2" t="s">
        <v>400</v>
      </c>
      <c r="E51" s="2" t="s">
        <v>401</v>
      </c>
      <c r="F51" s="2" t="s">
        <v>402</v>
      </c>
      <c r="G51" s="2" t="s">
        <v>403</v>
      </c>
      <c r="H51" s="2" t="s">
        <v>404</v>
      </c>
      <c r="I51" s="2" t="s">
        <v>405</v>
      </c>
      <c r="J51" s="2" t="s">
        <v>406</v>
      </c>
      <c r="K51" s="2" t="s">
        <v>245</v>
      </c>
    </row>
    <row r="52" spans="1:11" ht="35.15" customHeight="1">
      <c r="A52" s="2" t="s">
        <v>407</v>
      </c>
      <c r="B52" s="2" t="s">
        <v>408</v>
      </c>
      <c r="C52" s="2" t="s">
        <v>409</v>
      </c>
      <c r="D52" s="2" t="s">
        <v>410</v>
      </c>
      <c r="E52" s="2" t="s">
        <v>411</v>
      </c>
      <c r="F52" s="2" t="s">
        <v>412</v>
      </c>
      <c r="G52" s="2" t="s">
        <v>413</v>
      </c>
      <c r="H52" s="2" t="s">
        <v>414</v>
      </c>
      <c r="I52" s="2" t="s">
        <v>415</v>
      </c>
      <c r="J52" s="2" t="s">
        <v>255</v>
      </c>
      <c r="K52" s="2" t="s">
        <v>416</v>
      </c>
    </row>
    <row r="53" spans="1:11" ht="26.4" customHeight="1">
      <c r="A53" s="2" t="s">
        <v>417</v>
      </c>
      <c r="B53" s="2" t="s">
        <v>418</v>
      </c>
      <c r="C53" s="2" t="s">
        <v>419</v>
      </c>
      <c r="D53" s="2" t="s">
        <v>420</v>
      </c>
      <c r="E53" s="2" t="s">
        <v>421</v>
      </c>
      <c r="F53" s="2" t="s">
        <v>422</v>
      </c>
      <c r="G53" s="2" t="s">
        <v>423</v>
      </c>
      <c r="H53" s="2" t="s">
        <v>424</v>
      </c>
      <c r="I53" s="2" t="s">
        <v>425</v>
      </c>
      <c r="J53" s="2" t="s">
        <v>426</v>
      </c>
      <c r="K53" s="2" t="s">
        <v>427</v>
      </c>
    </row>
    <row r="54" spans="1:11" ht="35.15" customHeight="1">
      <c r="A54" s="2" t="s">
        <v>428</v>
      </c>
      <c r="B54" s="2" t="s">
        <v>429</v>
      </c>
      <c r="C54" s="2" t="s">
        <v>430</v>
      </c>
      <c r="D54" s="2" t="s">
        <v>431</v>
      </c>
      <c r="E54" s="2" t="s">
        <v>432</v>
      </c>
      <c r="F54" s="2" t="s">
        <v>16</v>
      </c>
      <c r="G54" s="2" t="s">
        <v>433</v>
      </c>
      <c r="H54" s="2" t="s">
        <v>434</v>
      </c>
      <c r="I54" s="2" t="s">
        <v>435</v>
      </c>
      <c r="J54" s="2" t="s">
        <v>436</v>
      </c>
      <c r="K54" s="2" t="s">
        <v>437</v>
      </c>
    </row>
    <row r="55" spans="1:11" ht="35.15" customHeight="1">
      <c r="A55" s="2" t="s">
        <v>438</v>
      </c>
      <c r="B55" s="2" t="s">
        <v>204</v>
      </c>
      <c r="C55" s="2" t="s">
        <v>439</v>
      </c>
      <c r="D55" s="2" t="s">
        <v>440</v>
      </c>
      <c r="E55" s="2" t="s">
        <v>441</v>
      </c>
      <c r="F55" s="2" t="s">
        <v>442</v>
      </c>
      <c r="G55" s="2" t="s">
        <v>443</v>
      </c>
      <c r="H55" s="2" t="s">
        <v>444</v>
      </c>
      <c r="I55" s="2" t="s">
        <v>445</v>
      </c>
      <c r="J55" s="2" t="s">
        <v>446</v>
      </c>
      <c r="K55" s="2" t="s">
        <v>447</v>
      </c>
    </row>
    <row r="56" spans="1:11" ht="26.4" customHeight="1">
      <c r="A56" s="2" t="s">
        <v>448</v>
      </c>
      <c r="B56" s="2" t="s">
        <v>449</v>
      </c>
      <c r="C56" s="2" t="s">
        <v>450</v>
      </c>
      <c r="D56" s="2" t="s">
        <v>451</v>
      </c>
      <c r="E56" s="2" t="s">
        <v>452</v>
      </c>
      <c r="F56" s="2" t="s">
        <v>16</v>
      </c>
      <c r="G56" s="2" t="s">
        <v>453</v>
      </c>
      <c r="H56" s="2" t="s">
        <v>307</v>
      </c>
      <c r="I56" s="2" t="s">
        <v>454</v>
      </c>
      <c r="J56" s="2" t="s">
        <v>255</v>
      </c>
      <c r="K56" s="2" t="s">
        <v>256</v>
      </c>
    </row>
    <row r="57" spans="1:11" ht="26.4" customHeight="1">
      <c r="A57" s="2" t="s">
        <v>455</v>
      </c>
      <c r="B57" s="2" t="s">
        <v>456</v>
      </c>
      <c r="C57" s="2" t="s">
        <v>457</v>
      </c>
      <c r="D57" s="2" t="s">
        <v>458</v>
      </c>
      <c r="E57" s="2" t="s">
        <v>459</v>
      </c>
      <c r="F57" s="2" t="s">
        <v>16</v>
      </c>
      <c r="G57" s="2" t="s">
        <v>460</v>
      </c>
      <c r="H57" s="2" t="s">
        <v>307</v>
      </c>
      <c r="I57" s="2" t="s">
        <v>461</v>
      </c>
      <c r="J57" s="2" t="s">
        <v>462</v>
      </c>
      <c r="K57" s="2" t="s">
        <v>463</v>
      </c>
    </row>
    <row r="58" spans="1:11" ht="17.649999999999999" customHeight="1">
      <c r="A58" s="2" t="s">
        <v>464</v>
      </c>
      <c r="B58" s="2" t="s">
        <v>204</v>
      </c>
      <c r="C58" s="2" t="s">
        <v>465</v>
      </c>
      <c r="D58" s="2" t="s">
        <v>466</v>
      </c>
      <c r="E58" s="2" t="s">
        <v>467</v>
      </c>
      <c r="F58" s="2" t="s">
        <v>16</v>
      </c>
      <c r="G58" s="2" t="s">
        <v>468</v>
      </c>
      <c r="H58" s="2" t="s">
        <v>307</v>
      </c>
      <c r="I58" s="2" t="s">
        <v>469</v>
      </c>
      <c r="J58" s="2" t="s">
        <v>462</v>
      </c>
      <c r="K58" s="2" t="s">
        <v>470</v>
      </c>
    </row>
  </sheetData>
  <dataValidations count="1">
    <dataValidation type="list" sqref="K2:K58" xr:uid="{00000000-0002-0000-0000-000000000000}">
      <formula1>_xlfn._LONGTEXT("Verified across multiple resumes,Verified in source resume,Verified; exact site count varies,Evidence present; amounts vary by project,Evidence present; metrics differ by measure,Verified; counts vary by time period,Supported by multiple sources,Verified;"," beneficiary count varies by version/date,Demonstrated capability / application work,Demonstrated analytical/work-product evidence,Supported by source evidence,Supported across sources,Needs confirmation")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/>
  </sheetViews>
  <sheetFormatPr defaultRowHeight="14"/>
  <cols>
    <col min="1" max="1" width="24" customWidth="1"/>
    <col min="2" max="3" width="44" customWidth="1"/>
    <col min="4" max="4" width="14" customWidth="1"/>
    <col min="5" max="5" width="34" customWidth="1"/>
  </cols>
  <sheetData>
    <row r="1" spans="1:5" ht="10" customHeight="1">
      <c r="A1" s="3" t="s">
        <v>471</v>
      </c>
      <c r="B1" s="3" t="s">
        <v>472</v>
      </c>
      <c r="C1" s="3" t="s">
        <v>473</v>
      </c>
      <c r="D1" s="3" t="s">
        <v>474</v>
      </c>
      <c r="E1" s="3" t="s">
        <v>475</v>
      </c>
    </row>
    <row r="2" spans="1:5" ht="17.649999999999999" customHeight="1">
      <c r="A2" s="2" t="s">
        <v>476</v>
      </c>
      <c r="B2" s="2" t="s">
        <v>477</v>
      </c>
      <c r="C2" s="2" t="s">
        <v>478</v>
      </c>
      <c r="D2" s="2" t="s">
        <v>479</v>
      </c>
      <c r="E2" s="2" t="s">
        <v>480</v>
      </c>
    </row>
    <row r="3" spans="1:5" ht="17.649999999999999" customHeight="1">
      <c r="A3" s="2" t="s">
        <v>481</v>
      </c>
      <c r="B3" s="2" t="s">
        <v>482</v>
      </c>
      <c r="C3" s="2" t="s">
        <v>483</v>
      </c>
      <c r="D3" s="2" t="s">
        <v>479</v>
      </c>
      <c r="E3" s="2" t="s">
        <v>484</v>
      </c>
    </row>
    <row r="4" spans="1:5" ht="17.649999999999999" customHeight="1">
      <c r="A4" s="2" t="s">
        <v>369</v>
      </c>
      <c r="B4" s="2" t="s">
        <v>485</v>
      </c>
      <c r="C4" s="2" t="s">
        <v>486</v>
      </c>
      <c r="D4" s="2" t="s">
        <v>479</v>
      </c>
      <c r="E4" s="2" t="s">
        <v>487</v>
      </c>
    </row>
    <row r="5" spans="1:5" ht="17.649999999999999" customHeight="1">
      <c r="A5" s="2" t="s">
        <v>488</v>
      </c>
      <c r="B5" s="2" t="s">
        <v>489</v>
      </c>
      <c r="C5" s="2" t="s">
        <v>490</v>
      </c>
      <c r="D5" s="2" t="s">
        <v>479</v>
      </c>
      <c r="E5" s="2" t="s">
        <v>491</v>
      </c>
    </row>
    <row r="6" spans="1:5" ht="26.4" customHeight="1">
      <c r="A6" s="2" t="s">
        <v>102</v>
      </c>
      <c r="B6" s="2" t="s">
        <v>492</v>
      </c>
      <c r="C6" s="2" t="s">
        <v>493</v>
      </c>
      <c r="D6" s="2" t="s">
        <v>479</v>
      </c>
      <c r="E6" s="2" t="s">
        <v>494</v>
      </c>
    </row>
    <row r="7" spans="1:5" ht="26.4" customHeight="1">
      <c r="A7" s="2" t="s">
        <v>495</v>
      </c>
      <c r="B7" s="2" t="s">
        <v>496</v>
      </c>
      <c r="C7" s="2" t="s">
        <v>497</v>
      </c>
      <c r="D7" s="2" t="s">
        <v>479</v>
      </c>
      <c r="E7" s="2" t="s">
        <v>498</v>
      </c>
    </row>
    <row r="8" spans="1:5" ht="17.649999999999999" customHeight="1">
      <c r="A8" s="2" t="s">
        <v>499</v>
      </c>
      <c r="B8" s="2" t="s">
        <v>500</v>
      </c>
      <c r="C8" s="2" t="s">
        <v>501</v>
      </c>
      <c r="D8" s="2" t="s">
        <v>479</v>
      </c>
      <c r="E8" s="2" t="s">
        <v>502</v>
      </c>
    </row>
    <row r="9" spans="1:5" ht="17.649999999999999" customHeight="1">
      <c r="A9" s="2" t="s">
        <v>503</v>
      </c>
      <c r="B9" s="2" t="s">
        <v>504</v>
      </c>
      <c r="C9" s="2" t="s">
        <v>505</v>
      </c>
      <c r="D9" s="2" t="s">
        <v>506</v>
      </c>
      <c r="E9" s="2" t="s">
        <v>507</v>
      </c>
    </row>
    <row r="10" spans="1:5" ht="17.649999999999999" customHeight="1">
      <c r="A10" s="2" t="s">
        <v>508</v>
      </c>
      <c r="B10" s="2" t="s">
        <v>509</v>
      </c>
      <c r="C10" s="2" t="s">
        <v>510</v>
      </c>
      <c r="D10" s="2" t="s">
        <v>506</v>
      </c>
      <c r="E10" s="2" t="s">
        <v>511</v>
      </c>
    </row>
    <row r="11" spans="1:5" ht="26.4" customHeight="1">
      <c r="A11" s="2" t="s">
        <v>227</v>
      </c>
      <c r="B11" s="2" t="s">
        <v>512</v>
      </c>
      <c r="C11" s="2" t="s">
        <v>513</v>
      </c>
      <c r="D11" s="2" t="s">
        <v>514</v>
      </c>
      <c r="E11" s="2" t="s">
        <v>515</v>
      </c>
    </row>
    <row r="12" spans="1:5" ht="17.649999999999999" customHeight="1">
      <c r="A12" s="2" t="s">
        <v>516</v>
      </c>
      <c r="B12" s="2" t="s">
        <v>517</v>
      </c>
      <c r="C12" s="2" t="s">
        <v>518</v>
      </c>
      <c r="D12" s="2" t="s">
        <v>506</v>
      </c>
      <c r="E12" s="2" t="s">
        <v>519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"/>
  <sheetViews>
    <sheetView workbookViewId="0"/>
  </sheetViews>
  <sheetFormatPr defaultRowHeight="14"/>
  <cols>
    <col min="1" max="1" width="12" customWidth="1"/>
    <col min="2" max="2" width="30" customWidth="1"/>
    <col min="3" max="3" width="36" customWidth="1"/>
    <col min="4" max="4" width="44" customWidth="1"/>
    <col min="5" max="5" width="18" customWidth="1"/>
  </cols>
  <sheetData>
    <row r="1" spans="1:5" ht="10" customHeight="1">
      <c r="A1" s="3" t="s">
        <v>520</v>
      </c>
      <c r="B1" s="3" t="s">
        <v>521</v>
      </c>
      <c r="C1" s="3" t="s">
        <v>522</v>
      </c>
      <c r="D1" s="3" t="s">
        <v>523</v>
      </c>
      <c r="E1" s="3" t="s">
        <v>10</v>
      </c>
    </row>
    <row r="2" spans="1:5" ht="10" customHeight="1">
      <c r="A2" s="2" t="s">
        <v>524</v>
      </c>
      <c r="B2" s="2" t="s">
        <v>525</v>
      </c>
      <c r="C2" s="2" t="s">
        <v>526</v>
      </c>
      <c r="D2" s="2" t="s">
        <v>527</v>
      </c>
      <c r="E2" s="2" t="s">
        <v>528</v>
      </c>
    </row>
    <row r="3" spans="1:5" ht="10" customHeight="1">
      <c r="A3" s="2" t="s">
        <v>529</v>
      </c>
      <c r="B3" s="2" t="s">
        <v>530</v>
      </c>
      <c r="C3" s="2" t="s">
        <v>526</v>
      </c>
      <c r="D3" s="2" t="s">
        <v>531</v>
      </c>
      <c r="E3" s="2" t="s">
        <v>528</v>
      </c>
    </row>
    <row r="4" spans="1:5" ht="10" customHeight="1">
      <c r="A4" s="2" t="s">
        <v>532</v>
      </c>
      <c r="B4" s="2" t="s">
        <v>533</v>
      </c>
      <c r="C4" s="2" t="s">
        <v>526</v>
      </c>
      <c r="D4" s="2" t="s">
        <v>534</v>
      </c>
      <c r="E4" s="2" t="s">
        <v>528</v>
      </c>
    </row>
    <row r="5" spans="1:5" ht="17.649999999999999" customHeight="1">
      <c r="A5" s="2" t="s">
        <v>535</v>
      </c>
      <c r="B5" s="2" t="s">
        <v>536</v>
      </c>
      <c r="C5" s="2" t="s">
        <v>537</v>
      </c>
      <c r="D5" s="2" t="s">
        <v>538</v>
      </c>
      <c r="E5" s="2" t="s">
        <v>528</v>
      </c>
    </row>
    <row r="6" spans="1:5" ht="10" customHeight="1">
      <c r="A6" s="2" t="s">
        <v>539</v>
      </c>
      <c r="B6" s="2" t="s">
        <v>540</v>
      </c>
      <c r="C6" s="2" t="s">
        <v>541</v>
      </c>
      <c r="D6" s="2" t="s">
        <v>542</v>
      </c>
      <c r="E6" s="2" t="s">
        <v>528</v>
      </c>
    </row>
    <row r="7" spans="1:5" ht="17.649999999999999" customHeight="1">
      <c r="A7" s="2" t="s">
        <v>543</v>
      </c>
      <c r="B7" s="2" t="s">
        <v>544</v>
      </c>
      <c r="C7" s="2" t="s">
        <v>545</v>
      </c>
      <c r="D7" s="2" t="s">
        <v>546</v>
      </c>
      <c r="E7" s="2" t="s">
        <v>528</v>
      </c>
    </row>
    <row r="8" spans="1:5" ht="17.649999999999999" customHeight="1">
      <c r="A8" s="2" t="s">
        <v>547</v>
      </c>
      <c r="B8" s="2" t="s">
        <v>548</v>
      </c>
      <c r="C8" s="2" t="s">
        <v>549</v>
      </c>
      <c r="D8" s="2" t="s">
        <v>550</v>
      </c>
      <c r="E8" s="2" t="s">
        <v>528</v>
      </c>
    </row>
    <row r="9" spans="1:5" ht="17.649999999999999" customHeight="1">
      <c r="A9" s="2" t="s">
        <v>551</v>
      </c>
      <c r="B9" s="2" t="s">
        <v>552</v>
      </c>
      <c r="C9" s="2" t="s">
        <v>553</v>
      </c>
      <c r="D9" s="2" t="s">
        <v>554</v>
      </c>
      <c r="E9" s="2" t="s">
        <v>528</v>
      </c>
    </row>
    <row r="10" spans="1:5" ht="10" customHeight="1">
      <c r="A10" s="2" t="s">
        <v>555</v>
      </c>
      <c r="B10" s="2" t="s">
        <v>218</v>
      </c>
      <c r="C10" s="2" t="s">
        <v>556</v>
      </c>
      <c r="D10" s="2" t="s">
        <v>557</v>
      </c>
      <c r="E10" s="2" t="s">
        <v>528</v>
      </c>
    </row>
    <row r="11" spans="1:5" ht="10" customHeight="1">
      <c r="A11" s="2" t="s">
        <v>558</v>
      </c>
      <c r="B11" s="2" t="s">
        <v>559</v>
      </c>
      <c r="C11" s="2" t="s">
        <v>560</v>
      </c>
      <c r="D11" s="2" t="s">
        <v>561</v>
      </c>
      <c r="E11" s="2" t="s">
        <v>528</v>
      </c>
    </row>
    <row r="12" spans="1:5" ht="10" customHeight="1">
      <c r="A12" s="2" t="s">
        <v>562</v>
      </c>
      <c r="B12" s="2" t="s">
        <v>563</v>
      </c>
      <c r="C12" s="2" t="s">
        <v>564</v>
      </c>
      <c r="D12" s="2" t="s">
        <v>565</v>
      </c>
      <c r="E12" s="2" t="s">
        <v>528</v>
      </c>
    </row>
    <row r="13" spans="1:5" ht="17.649999999999999" customHeight="1">
      <c r="A13" s="2" t="s">
        <v>566</v>
      </c>
      <c r="B13" s="2" t="s">
        <v>567</v>
      </c>
      <c r="C13" s="2" t="s">
        <v>568</v>
      </c>
      <c r="D13" s="2" t="s">
        <v>569</v>
      </c>
      <c r="E13" s="2" t="s">
        <v>528</v>
      </c>
    </row>
    <row r="14" spans="1:5" ht="17.649999999999999" customHeight="1">
      <c r="A14" s="2" t="s">
        <v>570</v>
      </c>
      <c r="B14" s="2" t="s">
        <v>379</v>
      </c>
      <c r="C14" s="2" t="s">
        <v>571</v>
      </c>
      <c r="D14" s="2" t="s">
        <v>572</v>
      </c>
      <c r="E14" s="2" t="s">
        <v>573</v>
      </c>
    </row>
    <row r="15" spans="1:5" ht="17.649999999999999" customHeight="1">
      <c r="A15" s="2" t="s">
        <v>574</v>
      </c>
      <c r="B15" s="2" t="s">
        <v>343</v>
      </c>
      <c r="C15" s="2" t="s">
        <v>575</v>
      </c>
      <c r="D15" s="2" t="s">
        <v>576</v>
      </c>
      <c r="E15" s="2" t="s">
        <v>528</v>
      </c>
    </row>
    <row r="16" spans="1:5" ht="17.649999999999999" customHeight="1">
      <c r="A16" s="2" t="s">
        <v>577</v>
      </c>
      <c r="B16" s="2" t="s">
        <v>578</v>
      </c>
      <c r="C16" s="2" t="s">
        <v>579</v>
      </c>
      <c r="D16" s="2" t="s">
        <v>580</v>
      </c>
      <c r="E16" s="2" t="s">
        <v>573</v>
      </c>
    </row>
    <row r="17" spans="1:5" ht="17.649999999999999" customHeight="1">
      <c r="A17" s="2" t="s">
        <v>581</v>
      </c>
      <c r="B17" s="2" t="s">
        <v>582</v>
      </c>
      <c r="C17" s="2" t="s">
        <v>583</v>
      </c>
      <c r="D17" s="2" t="s">
        <v>584</v>
      </c>
      <c r="E17" s="2" t="s">
        <v>573</v>
      </c>
    </row>
    <row r="18" spans="1:5" ht="17.649999999999999" customHeight="1">
      <c r="A18" s="2" t="s">
        <v>585</v>
      </c>
      <c r="B18" s="2" t="s">
        <v>586</v>
      </c>
      <c r="C18" s="2" t="s">
        <v>587</v>
      </c>
      <c r="D18" s="2" t="s">
        <v>588</v>
      </c>
      <c r="E18" s="2" t="s">
        <v>589</v>
      </c>
    </row>
    <row r="19" spans="1:5" ht="17.649999999999999" customHeight="1">
      <c r="A19" s="2" t="s">
        <v>590</v>
      </c>
      <c r="B19" s="2" t="s">
        <v>591</v>
      </c>
      <c r="C19" s="2" t="s">
        <v>592</v>
      </c>
      <c r="D19" s="2" t="s">
        <v>593</v>
      </c>
      <c r="E19" s="2" t="s">
        <v>589</v>
      </c>
    </row>
    <row r="20" spans="1:5" ht="17.649999999999999" customHeight="1">
      <c r="A20" s="2" t="s">
        <v>594</v>
      </c>
      <c r="B20" s="2" t="s">
        <v>595</v>
      </c>
      <c r="C20" s="2" t="s">
        <v>596</v>
      </c>
      <c r="D20" s="2" t="s">
        <v>597</v>
      </c>
      <c r="E20" s="2" t="s">
        <v>598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workbookViewId="0"/>
  </sheetViews>
  <sheetFormatPr defaultRowHeight="14"/>
  <cols>
    <col min="1" max="1" width="32" customWidth="1"/>
    <col min="2" max="2" width="18" customWidth="1"/>
    <col min="3" max="3" width="62" customWidth="1"/>
  </cols>
  <sheetData>
    <row r="1" spans="1:3" ht="10" customHeight="1">
      <c r="A1" s="3" t="s">
        <v>599</v>
      </c>
      <c r="B1" s="3" t="s">
        <v>600</v>
      </c>
      <c r="C1" s="3" t="s">
        <v>601</v>
      </c>
    </row>
    <row r="2" spans="1:3" ht="17.649999999999999" customHeight="1">
      <c r="A2" s="2" t="s">
        <v>602</v>
      </c>
      <c r="B2" s="2" t="s">
        <v>603</v>
      </c>
      <c r="C2" s="2" t="s">
        <v>604</v>
      </c>
    </row>
    <row r="3" spans="1:3" ht="10" customHeight="1">
      <c r="A3" s="2" t="s">
        <v>605</v>
      </c>
      <c r="B3" s="2" t="s">
        <v>606</v>
      </c>
      <c r="C3" s="2" t="s">
        <v>607</v>
      </c>
    </row>
    <row r="4" spans="1:3" ht="10" customHeight="1">
      <c r="A4" s="2" t="s">
        <v>608</v>
      </c>
      <c r="B4" s="2" t="s">
        <v>609</v>
      </c>
      <c r="C4" s="2" t="s">
        <v>610</v>
      </c>
    </row>
    <row r="5" spans="1:3" ht="10" customHeight="1">
      <c r="A5" s="2" t="s">
        <v>611</v>
      </c>
      <c r="B5" s="2" t="s">
        <v>612</v>
      </c>
      <c r="C5" s="2" t="s">
        <v>613</v>
      </c>
    </row>
    <row r="6" spans="1:3" ht="10" customHeight="1">
      <c r="A6" s="2" t="s">
        <v>614</v>
      </c>
      <c r="B6" s="2" t="s">
        <v>615</v>
      </c>
      <c r="C6" s="2" t="s">
        <v>616</v>
      </c>
    </row>
    <row r="7" spans="1:3" ht="10" customHeight="1">
      <c r="A7" s="2" t="s">
        <v>617</v>
      </c>
      <c r="B7" s="2" t="s">
        <v>618</v>
      </c>
      <c r="C7" s="2" t="s">
        <v>619</v>
      </c>
    </row>
    <row r="8" spans="1:3" ht="10" customHeight="1">
      <c r="A8" s="2" t="s">
        <v>620</v>
      </c>
      <c r="B8" s="2" t="s">
        <v>621</v>
      </c>
      <c r="C8" s="2" t="s">
        <v>622</v>
      </c>
    </row>
    <row r="9" spans="1:3" ht="10" customHeight="1">
      <c r="A9" s="2" t="s">
        <v>623</v>
      </c>
      <c r="B9" s="2" t="s">
        <v>624</v>
      </c>
      <c r="C9" s="2" t="s">
        <v>625</v>
      </c>
    </row>
    <row r="10" spans="1:3" ht="10" customHeight="1">
      <c r="A10" s="2" t="s">
        <v>626</v>
      </c>
      <c r="B10" s="2" t="s">
        <v>612</v>
      </c>
      <c r="C10" s="2" t="s">
        <v>627</v>
      </c>
    </row>
    <row r="11" spans="1:3" ht="17.649999999999999" customHeight="1">
      <c r="A11" s="2" t="s">
        <v>628</v>
      </c>
      <c r="B11" s="2" t="s">
        <v>629</v>
      </c>
      <c r="C11" s="2" t="s">
        <v>630</v>
      </c>
    </row>
    <row r="12" spans="1:3" ht="17.649999999999999" customHeight="1">
      <c r="A12" s="2" t="s">
        <v>631</v>
      </c>
      <c r="B12" s="2" t="s">
        <v>632</v>
      </c>
      <c r="C12" s="2" t="s">
        <v>633</v>
      </c>
    </row>
    <row r="13" spans="1:3" ht="17.649999999999999" customHeight="1">
      <c r="A13" s="2" t="s">
        <v>634</v>
      </c>
      <c r="B13" s="2" t="s">
        <v>635</v>
      </c>
      <c r="C13" s="2" t="s">
        <v>636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workbookViewId="0"/>
  </sheetViews>
  <sheetFormatPr defaultRowHeight="14"/>
  <cols>
    <col min="1" max="1" width="12" customWidth="1"/>
    <col min="2" max="2" width="28" customWidth="1"/>
    <col min="3" max="4" width="34" customWidth="1"/>
    <col min="5" max="5" width="64" customWidth="1"/>
    <col min="6" max="6" width="22" customWidth="1"/>
  </cols>
  <sheetData>
    <row r="1" spans="1:6" ht="35.15" customHeight="1">
      <c r="A1" s="3" t="s">
        <v>637</v>
      </c>
      <c r="B1" s="3" t="s">
        <v>638</v>
      </c>
      <c r="C1" s="3" t="s">
        <v>639</v>
      </c>
      <c r="D1" s="3" t="s">
        <v>640</v>
      </c>
      <c r="E1" s="3" t="s">
        <v>641</v>
      </c>
      <c r="F1" s="3" t="s">
        <v>10</v>
      </c>
    </row>
    <row r="2" spans="1:6" ht="132" customHeight="1">
      <c r="A2" s="2" t="s">
        <v>642</v>
      </c>
      <c r="B2" s="2" t="s">
        <v>643</v>
      </c>
      <c r="C2" s="2" t="s">
        <v>644</v>
      </c>
      <c r="D2" s="2" t="s">
        <v>645</v>
      </c>
      <c r="E2" s="2" t="s">
        <v>646</v>
      </c>
      <c r="F2" s="2" t="s">
        <v>647</v>
      </c>
    </row>
    <row r="3" spans="1:6" ht="114.4" customHeight="1">
      <c r="A3" s="2" t="s">
        <v>648</v>
      </c>
      <c r="B3" s="2" t="s">
        <v>649</v>
      </c>
      <c r="C3" s="2" t="s">
        <v>650</v>
      </c>
      <c r="D3" s="2" t="s">
        <v>651</v>
      </c>
      <c r="E3" s="2" t="s">
        <v>652</v>
      </c>
      <c r="F3" s="2" t="s">
        <v>653</v>
      </c>
    </row>
    <row r="4" spans="1:6" ht="132" customHeight="1">
      <c r="A4" s="2" t="s">
        <v>654</v>
      </c>
      <c r="B4" s="2" t="s">
        <v>655</v>
      </c>
      <c r="C4" s="2" t="s">
        <v>656</v>
      </c>
      <c r="D4" s="2" t="s">
        <v>657</v>
      </c>
      <c r="E4" s="2" t="s">
        <v>658</v>
      </c>
      <c r="F4" s="2" t="s">
        <v>653</v>
      </c>
    </row>
    <row r="5" spans="1:6" ht="114.4" customHeight="1">
      <c r="A5" s="2" t="s">
        <v>659</v>
      </c>
      <c r="B5" s="2" t="s">
        <v>660</v>
      </c>
      <c r="C5" s="2" t="s">
        <v>661</v>
      </c>
      <c r="D5" s="2" t="s">
        <v>662</v>
      </c>
      <c r="E5" s="2" t="s">
        <v>663</v>
      </c>
      <c r="F5" s="2" t="s">
        <v>653</v>
      </c>
    </row>
    <row r="6" spans="1:6" ht="123.25" customHeight="1">
      <c r="A6" s="2" t="s">
        <v>664</v>
      </c>
      <c r="B6" s="2" t="s">
        <v>665</v>
      </c>
      <c r="C6" s="2" t="s">
        <v>666</v>
      </c>
      <c r="D6" s="2" t="s">
        <v>667</v>
      </c>
      <c r="E6" s="2" t="s">
        <v>668</v>
      </c>
      <c r="F6" s="2" t="s">
        <v>653</v>
      </c>
    </row>
    <row r="7" spans="1:6" ht="70.400000000000006" customHeight="1">
      <c r="A7" s="2" t="s">
        <v>669</v>
      </c>
      <c r="B7" s="2" t="s">
        <v>670</v>
      </c>
      <c r="C7" s="2" t="s">
        <v>671</v>
      </c>
      <c r="D7" s="2" t="s">
        <v>672</v>
      </c>
      <c r="E7" s="2" t="s">
        <v>673</v>
      </c>
      <c r="F7" s="2" t="s">
        <v>653</v>
      </c>
    </row>
    <row r="8" spans="1:6" ht="70.400000000000006" customHeight="1">
      <c r="A8" s="2" t="s">
        <v>674</v>
      </c>
      <c r="B8" s="2" t="s">
        <v>675</v>
      </c>
      <c r="C8" s="2" t="s">
        <v>676</v>
      </c>
      <c r="D8" s="2" t="s">
        <v>677</v>
      </c>
      <c r="E8" s="2" t="s">
        <v>678</v>
      </c>
      <c r="F8" s="2" t="s">
        <v>653</v>
      </c>
    </row>
    <row r="9" spans="1:6" ht="123.25" customHeight="1">
      <c r="A9" s="2" t="s">
        <v>679</v>
      </c>
      <c r="B9" s="2" t="s">
        <v>680</v>
      </c>
      <c r="C9" s="2" t="s">
        <v>681</v>
      </c>
      <c r="D9" s="2" t="s">
        <v>682</v>
      </c>
      <c r="E9" s="2" t="s">
        <v>683</v>
      </c>
      <c r="F9" s="2" t="s">
        <v>653</v>
      </c>
    </row>
    <row r="10" spans="1:6" ht="88" customHeight="1">
      <c r="A10" s="2" t="s">
        <v>684</v>
      </c>
      <c r="B10" s="2" t="s">
        <v>685</v>
      </c>
      <c r="C10" s="2" t="s">
        <v>686</v>
      </c>
      <c r="D10" s="2" t="s">
        <v>687</v>
      </c>
      <c r="E10" s="2" t="s">
        <v>688</v>
      </c>
      <c r="F10" s="2" t="s">
        <v>653</v>
      </c>
    </row>
    <row r="11" spans="1:6" ht="114.4" customHeight="1">
      <c r="A11" s="2" t="s">
        <v>689</v>
      </c>
      <c r="B11" s="2" t="s">
        <v>690</v>
      </c>
      <c r="C11" s="2" t="s">
        <v>691</v>
      </c>
      <c r="D11" s="2" t="s">
        <v>692</v>
      </c>
      <c r="E11" s="2" t="s">
        <v>693</v>
      </c>
      <c r="F11" s="2" t="s">
        <v>694</v>
      </c>
    </row>
  </sheetData>
  <conditionalFormatting sqref="F2:F11">
    <cfRule type="expression" dxfId="1" priority="1">
      <formula>F2="Needs confirmation"</formula>
    </cfRule>
    <cfRule type="expression" dxfId="0" priority="2">
      <formula>F2="Resolved"</formula>
    </cfRule>
  </conditionalFormatting>
  <dataValidations count="1">
    <dataValidation type="list" sqref="F2:F11" xr:uid="{00000000-0002-0000-0400-000000000000}">
      <formula1>"Needs confirmation,Review before automated use,Resolved,Resolve by formula/rule"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/>
  </sheetViews>
  <sheetFormatPr defaultRowHeight="14"/>
  <cols>
    <col min="1" max="1" width="28" customWidth="1"/>
    <col min="2" max="2" width="48" customWidth="1"/>
    <col min="3" max="3" width="64" customWidth="1"/>
    <col min="4" max="4" width="26" customWidth="1"/>
  </cols>
  <sheetData>
    <row r="1" spans="1:4" ht="17.649999999999999" customHeight="1">
      <c r="A1" s="3" t="s">
        <v>695</v>
      </c>
      <c r="B1" s="3" t="s">
        <v>696</v>
      </c>
      <c r="C1" s="3" t="s">
        <v>697</v>
      </c>
      <c r="D1" s="3" t="s">
        <v>698</v>
      </c>
    </row>
    <row r="2" spans="1:4" ht="202.4" customHeight="1">
      <c r="A2" s="2" t="s">
        <v>699</v>
      </c>
      <c r="B2" s="2" t="s">
        <v>700</v>
      </c>
      <c r="C2" s="2" t="s">
        <v>701</v>
      </c>
      <c r="D2" s="2" t="s">
        <v>702</v>
      </c>
    </row>
    <row r="3" spans="1:4" ht="79.25" customHeight="1">
      <c r="A3" s="2" t="s">
        <v>703</v>
      </c>
      <c r="B3" s="2" t="s">
        <v>704</v>
      </c>
      <c r="C3" s="2" t="s">
        <v>705</v>
      </c>
      <c r="D3" s="2" t="s">
        <v>479</v>
      </c>
    </row>
    <row r="4" spans="1:4" ht="140.75" customHeight="1">
      <c r="A4" s="2" t="s">
        <v>706</v>
      </c>
      <c r="B4" s="2" t="s">
        <v>707</v>
      </c>
      <c r="C4" s="2" t="s">
        <v>708</v>
      </c>
      <c r="D4" s="2" t="s">
        <v>479</v>
      </c>
    </row>
    <row r="5" spans="1:4" ht="123.25" customHeight="1">
      <c r="A5" s="2" t="s">
        <v>709</v>
      </c>
      <c r="B5" s="2" t="s">
        <v>710</v>
      </c>
      <c r="C5" s="2" t="s">
        <v>711</v>
      </c>
      <c r="D5" s="2" t="s">
        <v>479</v>
      </c>
    </row>
    <row r="6" spans="1:4" ht="140.75" customHeight="1">
      <c r="A6" s="2" t="s">
        <v>712</v>
      </c>
      <c r="B6" s="2" t="s">
        <v>713</v>
      </c>
      <c r="C6" s="2" t="s">
        <v>714</v>
      </c>
      <c r="D6" s="2" t="s">
        <v>479</v>
      </c>
    </row>
    <row r="7" spans="1:4" ht="158.4" customHeight="1">
      <c r="A7" s="2" t="s">
        <v>715</v>
      </c>
      <c r="B7" s="2" t="s">
        <v>716</v>
      </c>
      <c r="C7" s="2" t="s">
        <v>717</v>
      </c>
      <c r="D7" s="2" t="s">
        <v>479</v>
      </c>
    </row>
    <row r="8" spans="1:4" ht="105.65" customHeight="1">
      <c r="A8" s="2" t="s">
        <v>242</v>
      </c>
      <c r="B8" s="2" t="s">
        <v>718</v>
      </c>
      <c r="C8" s="2" t="s">
        <v>719</v>
      </c>
      <c r="D8" s="2" t="s">
        <v>506</v>
      </c>
    </row>
    <row r="9" spans="1:4" ht="132" customHeight="1">
      <c r="A9" s="2" t="s">
        <v>720</v>
      </c>
      <c r="B9" s="2" t="s">
        <v>721</v>
      </c>
      <c r="C9" s="2" t="s">
        <v>722</v>
      </c>
      <c r="D9" s="2" t="s">
        <v>514</v>
      </c>
    </row>
    <row r="10" spans="1:4" ht="52.75" customHeight="1">
      <c r="A10" s="2" t="s">
        <v>723</v>
      </c>
      <c r="B10" s="2" t="s">
        <v>724</v>
      </c>
      <c r="C10" s="2" t="s">
        <v>725</v>
      </c>
      <c r="D10" s="2" t="s">
        <v>726</v>
      </c>
    </row>
    <row r="11" spans="1:4" ht="123.25" customHeight="1">
      <c r="A11" s="2" t="s">
        <v>727</v>
      </c>
      <c r="B11" s="2" t="s">
        <v>728</v>
      </c>
      <c r="C11" s="2" t="s">
        <v>729</v>
      </c>
      <c r="D11" s="2" t="s">
        <v>730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/>
  </sheetViews>
  <sheetFormatPr defaultRowHeight="14"/>
  <cols>
    <col min="1" max="6" width="24" customWidth="1"/>
  </cols>
  <sheetData>
    <row r="1" spans="1:6" ht="20">
      <c r="A1" s="5" t="s">
        <v>731</v>
      </c>
      <c r="B1" s="5"/>
      <c r="C1" s="5"/>
      <c r="D1" s="5"/>
      <c r="E1" s="5"/>
      <c r="F1" s="5"/>
    </row>
    <row r="2" spans="1:6">
      <c r="A2" s="1"/>
      <c r="B2" s="1"/>
      <c r="C2" s="1"/>
      <c r="D2" s="1"/>
      <c r="E2" s="1"/>
      <c r="F2" s="1"/>
    </row>
    <row r="3" spans="1:6">
      <c r="A3" s="4" t="s">
        <v>732</v>
      </c>
      <c r="B3" s="4" t="s">
        <v>600</v>
      </c>
      <c r="C3" s="1"/>
      <c r="D3" s="4" t="s">
        <v>733</v>
      </c>
      <c r="E3" s="4" t="s">
        <v>474</v>
      </c>
      <c r="F3" s="4" t="s">
        <v>734</v>
      </c>
    </row>
    <row r="4" spans="1:6" ht="28">
      <c r="A4" s="1" t="s">
        <v>735</v>
      </c>
      <c r="B4" s="1">
        <v>57</v>
      </c>
      <c r="C4" s="1"/>
      <c r="D4" s="1" t="s">
        <v>476</v>
      </c>
      <c r="E4" s="1" t="s">
        <v>479</v>
      </c>
      <c r="F4" s="1" t="s">
        <v>736</v>
      </c>
    </row>
    <row r="5" spans="1:6" ht="28">
      <c r="A5" s="1" t="s">
        <v>699</v>
      </c>
      <c r="B5" s="1">
        <v>11</v>
      </c>
      <c r="C5" s="1"/>
      <c r="D5" s="1" t="s">
        <v>481</v>
      </c>
      <c r="E5" s="1" t="s">
        <v>479</v>
      </c>
      <c r="F5" s="1" t="s">
        <v>737</v>
      </c>
    </row>
    <row r="6" spans="1:6">
      <c r="A6" s="1" t="s">
        <v>738</v>
      </c>
      <c r="B6" s="1">
        <v>19</v>
      </c>
      <c r="C6" s="1"/>
      <c r="D6" s="1" t="s">
        <v>369</v>
      </c>
      <c r="E6" s="1" t="s">
        <v>479</v>
      </c>
      <c r="F6" s="1" t="s">
        <v>739</v>
      </c>
    </row>
    <row r="7" spans="1:6">
      <c r="A7" s="1" t="s">
        <v>740</v>
      </c>
      <c r="B7" s="1">
        <v>10</v>
      </c>
      <c r="C7" s="1"/>
      <c r="D7" s="1" t="s">
        <v>102</v>
      </c>
      <c r="E7" s="1" t="s">
        <v>479</v>
      </c>
      <c r="F7" s="1" t="s">
        <v>741</v>
      </c>
    </row>
    <row r="8" spans="1:6" ht="28">
      <c r="A8" s="1" t="s">
        <v>742</v>
      </c>
      <c r="B8" s="1">
        <v>82</v>
      </c>
      <c r="C8" s="1"/>
      <c r="D8" s="1" t="s">
        <v>495</v>
      </c>
      <c r="E8" s="1" t="s">
        <v>479</v>
      </c>
      <c r="F8" s="1" t="s">
        <v>743</v>
      </c>
    </row>
    <row r="9" spans="1:6">
      <c r="A9" s="1"/>
      <c r="B9" s="1"/>
      <c r="C9" s="1"/>
      <c r="D9" s="1" t="s">
        <v>499</v>
      </c>
      <c r="E9" s="1" t="s">
        <v>479</v>
      </c>
      <c r="F9" s="1" t="s">
        <v>744</v>
      </c>
    </row>
    <row r="10" spans="1:6">
      <c r="A10" s="6" t="s">
        <v>745</v>
      </c>
      <c r="B10" s="6"/>
      <c r="C10" s="6"/>
      <c r="D10" s="6" t="s">
        <v>488</v>
      </c>
      <c r="E10" s="6" t="s">
        <v>479</v>
      </c>
      <c r="F10" s="6" t="s">
        <v>746</v>
      </c>
    </row>
    <row r="11" spans="1:6">
      <c r="A11" s="1"/>
      <c r="B11" s="1"/>
      <c r="C11" s="1"/>
      <c r="D11" s="1"/>
      <c r="E11" s="1"/>
      <c r="F11" s="1"/>
    </row>
    <row r="12" spans="1:6">
      <c r="A12" s="1"/>
      <c r="B12" s="1"/>
      <c r="C12" s="1"/>
      <c r="D12" s="1"/>
      <c r="E12" s="1"/>
      <c r="F12" s="1"/>
    </row>
  </sheetData>
  <mergeCells count="2">
    <mergeCell ref="A1:F1"/>
    <mergeCell ref="A10:F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Career Evidence</vt:lpstr>
      <vt:lpstr>Role Families</vt:lpstr>
      <vt:lpstr>Source Resumes</vt:lpstr>
      <vt:lpstr>Search Rules</vt:lpstr>
      <vt:lpstr>Conflict Review</vt:lpstr>
      <vt:lpstr>Search Profile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clavel lazarre</dc:creator>
  <cp:lastModifiedBy>clavel lazarre</cp:lastModifiedBy>
  <dcterms:created xsi:type="dcterms:W3CDTF">2026-10-03T21:55:15Z</dcterms:created>
  <dcterms:modified xsi:type="dcterms:W3CDTF">2026-10-03T21:55:15Z</dcterms:modified>
</cp:coreProperties>
</file>